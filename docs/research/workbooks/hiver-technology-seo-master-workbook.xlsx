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_rels/sheet15.xml.rels" ContentType="application/vnd.openxmlformats-package.relationships+xml"/>
  <Override PartName="/xl/worksheets/_rels/sheet16.xml.rels" ContentType="application/vnd.openxmlformats-package.relationships+xml"/>
  <Override PartName="/xl/worksheets/_rels/sheet17.xml.rels" ContentType="application/vnd.openxmlformats-package.relationships+xml"/>
  <Override PartName="/xl/worksheets/_rels/sheet18.xml.rels" ContentType="application/vnd.openxmlformats-package.relationships+xml"/>
  <Override PartName="/xl/worksheets/_rels/sheet20.xml.rels" ContentType="application/vnd.openxmlformats-package.relationships+xml"/>
  <Override PartName="/xl/worksheets/_rels/sheet2.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10.xml.rels" ContentType="application/vnd.openxmlformats-package.relationships+xml"/>
  <Override PartName="/xl/worksheets/_rels/sheet22.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23.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3.xml.rels" ContentType="application/vnd.openxmlformats-package.relationships+xml"/>
  <Override PartName="/xl/worksheets/_rels/sheet19.xml.rels" ContentType="application/vnd.openxmlformats-package.relationships+xml"/>
  <Override PartName="/xl/worksheets/_rels/sheet2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5.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1 README" sheetId="1" state="visible" r:id="rId3"/>
    <sheet name="02 Exec Summary" sheetId="2" state="visible" r:id="rId4"/>
    <sheet name="03 Hiver Baseline" sheetId="3" state="visible" r:id="rId5"/>
    <sheet name="04 Competitor Benchmark" sheetId="4" state="visible" r:id="rId6"/>
    <sheet name="05 Page Archetypes" sheetId="5" state="visible" r:id="rId7"/>
    <sheet name="06 Gap Matrix" sheetId="6" state="visible" r:id="rId8"/>
    <sheet name="07 Scoring Model" sheetId="7" state="visible" r:id="rId9"/>
    <sheet name="08 Master Keywords" sheetId="8" state="visible" r:id="rId10"/>
    <sheet name="09 URL Map" sheetId="9" state="visible" r:id="rId11"/>
    <sheet name="10 Page SEO" sheetId="10" state="visible" r:id="rId12"/>
    <sheet name="11 Content Briefs" sheetId="11" state="visible" r:id="rId13"/>
    <sheet name="12 Content Calendar" sheetId="12" state="visible" r:id="rId14"/>
    <sheet name="13 Internal Links" sheetId="13" state="visible" r:id="rId15"/>
    <sheet name="14 Technical SEO" sheetId="14" state="visible" r:id="rId16"/>
    <sheet name="15 Schema Plan" sheetId="15" state="visible" r:id="rId17"/>
    <sheet name="16 Trust and E-E-A-T" sheetId="16" state="visible" r:id="rId18"/>
    <sheet name="17 Conversion" sheetId="17" state="visible" r:id="rId19"/>
    <sheet name="18 Analytics" sheetId="18" state="visible" r:id="rId20"/>
    <sheet name="19 Backlinks" sheetId="19" state="visible" r:id="rId21"/>
    <sheet name="20 Roadmap" sheetId="20" state="visible" r:id="rId22"/>
    <sheet name="21 Risks" sheetId="21" state="visible" r:id="rId23"/>
    <sheet name="22 Data Required" sheetId="22" state="visible" r:id="rId24"/>
    <sheet name="23 Launch QA" sheetId="23" state="visible" r:id="rId25"/>
  </sheets>
  <definedNames>
    <definedName function="false" hidden="true" localSheetId="0" name="_xlnm._FilterDatabase" vbProcedure="false">'01 README'!$A$3:$B$12</definedName>
    <definedName function="false" hidden="true" localSheetId="1" name="_xlnm._FilterDatabase" vbProcedure="false">'02 Exec Summary'!$A$3:$C$13</definedName>
    <definedName function="false" hidden="true" localSheetId="2" name="_xlnm._FilterDatabase" vbProcedure="false">'03 Hiver Baseline'!$A$3:$H$21</definedName>
    <definedName function="false" hidden="true" localSheetId="3" name="_xlnm._FilterDatabase" vbProcedure="false">'04 Competitor Benchmark'!$A$3:$E$29</definedName>
    <definedName function="false" hidden="true" localSheetId="4" name="_xlnm._FilterDatabase" vbProcedure="false">'05 Page Archetypes'!$A$3:$G$9</definedName>
    <definedName function="false" hidden="true" localSheetId="5" name="_xlnm._FilterDatabase" vbProcedure="false">'06 Gap Matrix'!$A$3:$H$23</definedName>
    <definedName function="false" hidden="true" localSheetId="7" name="_xlnm._FilterDatabase" vbProcedure="false">'08 Master Keywords'!$A$3:$T$73</definedName>
    <definedName function="false" hidden="true" localSheetId="8" name="_xlnm._FilterDatabase" vbProcedure="false">'09 URL Map'!$A$3:$K$66</definedName>
    <definedName function="false" hidden="true" localSheetId="9" name="_xlnm._FilterDatabase" vbProcedure="false">'10 Page SEO'!$A$3:$H$18</definedName>
    <definedName function="false" hidden="true" localSheetId="11" name="_xlnm._FilterDatabase" vbProcedure="false">'12 Content Calendar'!$A$3:$K$15</definedName>
    <definedName function="false" hidden="true" localSheetId="12" name="_xlnm._FilterDatabase" vbProcedure="false">'13 Internal Links'!$A$3:$F$18</definedName>
    <definedName function="false" hidden="true" localSheetId="13" name="_xlnm._FilterDatabase" vbProcedure="false">'14 Technical SEO'!$A$3:$G$31</definedName>
    <definedName function="false" hidden="true" localSheetId="14" name="_xlnm._FilterDatabase" vbProcedure="false">'15 Schema Plan'!$A$3:$E$13</definedName>
    <definedName function="false" hidden="true" localSheetId="15" name="_xlnm._FilterDatabase" vbProcedure="false">'16 Trust and E-E-A-T'!$A$3:$F$23</definedName>
    <definedName function="false" hidden="true" localSheetId="16" name="_xlnm._FilterDatabase" vbProcedure="false">'17 Conversion'!$A$3:$D$19</definedName>
    <definedName function="false" hidden="true" localSheetId="17" name="_xlnm._FilterDatabase" vbProcedure="false">'18 Analytics'!$A$3:$D$23</definedName>
    <definedName function="false" hidden="true" localSheetId="18" name="_xlnm._FilterDatabase" vbProcedure="false">'19 Backlinks'!$A$3:$F$12</definedName>
    <definedName function="false" hidden="true" localSheetId="19" name="_xlnm._FilterDatabase" vbProcedure="false">'20 Roadmap'!$A$3:$G$27</definedName>
    <definedName function="false" hidden="true" localSheetId="20" name="_xlnm._FilterDatabase" vbProcedure="false">'21 Risks'!$A$3:$D$13</definedName>
    <definedName function="false" hidden="true" localSheetId="21" name="_xlnm._FilterDatabase" vbProcedure="false">'22 Data Required'!$A$3:$F$28</definedName>
    <definedName function="false" hidden="true" localSheetId="22" name="_xlnm._FilterDatabase" vbProcedure="false">'23 Launch QA'!$A$3:$D$33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<sst xmlns="http://schemas.openxmlformats.org/spreadsheetml/2006/main" count="3868" uniqueCount="1734">
  <si>
    <t xml:space="preserve">Hiver Technology - SEO Master Workbook</t>
  </si>
  <si>
    <t xml:space="preserve">Prepared 2026-08-14. Benchmarked against a supplied 253-URL competitor audit (nexly.com.au) and a live inspection of hiver.com.np.</t>
  </si>
  <si>
    <t xml:space="preserve">Item</t>
  </si>
  <si>
    <t xml:space="preserve">Detail</t>
  </si>
  <si>
    <t xml:space="preserve">What this workbook is</t>
  </si>
  <si>
    <t xml:space="preserve">An SEO, architecture and content plan for Hiver Technology (hiver.com.np), benchmarked against a real competitor site audit (nexly.com.au, 253 URLs) supplied by the client, plus a live inspection of hiver.com.np.</t>
  </si>
  <si>
    <t xml:space="preserve">Verification date</t>
  </si>
  <si>
    <t xml:space="preserve">2026-08-14. Every SERP, competitor and site observation in this workbook was made on or before this date. Re-verify before acting on anything time-sensitive.</t>
  </si>
  <si>
    <t xml:space="preserve">Provenance rule</t>
  </si>
  <si>
    <t xml:space="preserve">Every data point carries a Source label. No search volume, keyword difficulty, CPC or backlink figure has been invented. Cells reading DATA REQUIRED must be filled from a paid tool or from Hiver before the plan is final.</t>
  </si>
  <si>
    <t xml:space="preserve">Source labels used</t>
  </si>
  <si>
    <t xml:space="preserve">[VERIFIED-SITE] observed directly on the live site  |  [VERIFIED-FILE] taken from the supplied Nexly audit file  |  [COMPETITOR-DERIVED] inferred from a competitor's actual page/title/URL choices  |  [STRATEGIC-JUDGEMENT] the analyst's reasoning, no metric behind it  |  [DATA REQUIRED] unavailable, must be sourced</t>
  </si>
  <si>
    <t xml:space="preserve">Cell colour convention</t>
  </si>
  <si>
    <t xml:space="preserve">Blue text = an input you can change (scoring weights).  Yellow fill = a gap that must be filled before launch.  Black text = formula or fixed research output.</t>
  </si>
  <si>
    <t xml:space="preserve">Which cells to edit</t>
  </si>
  <si>
    <t xml:space="preserve">Scoring Model!B5:B8 (the four weights, must total 100%) and the tier multipliers below them.  Master Keywords columns F-H (Volume / KD / CPC) once you have Ahrefs or Semrush access.  Any cell marked DATA REQUIRED.  Everything else is derived.</t>
  </si>
  <si>
    <t xml:space="preserve">How the priority score works</t>
  </si>
  <si>
    <t xml:space="preserve">Master Keywords column P weights four 1-5 judgement scores and rescales to 0-100. Column Q then multiplies that by the winnability multiplier for the keyword's tier, so a head term Hiver cannot win drops to the bottom instead of topping the list on commercial intent. Sort by column Q. Change any weight or multiplier and every score recalculates. The score prioritises work; it does not predict rankings.</t>
  </si>
  <si>
    <t xml:space="preserve">Reading order</t>
  </si>
  <si>
    <t xml:space="preserve">1. Exec Summary  2. Hiver Baseline  3. Competitor Benchmark  4. Gap Matrix  5. Master Keywords  6. URL Map  7. Page SEO  8. Content Briefs  9. everything else as needed.</t>
  </si>
  <si>
    <t xml:space="preserve">What this workbook does not do</t>
  </si>
  <si>
    <t xml:space="preserve">It does not promise rankings, does not claim tool-verified volumes, and does not plan pages for services Hiver has not confirmed it delivers. Capability-gated pages are flagged in the URL Map.</t>
  </si>
  <si>
    <t xml:space="preserve">Legend</t>
  </si>
  <si>
    <t xml:space="preserve">Blue text</t>
  </si>
  <si>
    <t xml:space="preserve">An input cell you can change (see Scoring Model)</t>
  </si>
  <si>
    <t xml:space="preserve">Yellow fill</t>
  </si>
  <si>
    <t xml:space="preserve">A gap that must be filled before launch - marked DATA REQUIRED</t>
  </si>
  <si>
    <t xml:space="preserve">Black text</t>
  </si>
  <si>
    <t xml:space="preserve">Formula output or fixed research finding</t>
  </si>
  <si>
    <t xml:space="preserve">Executive summary - ten findings that shape the plan</t>
  </si>
  <si>
    <t xml:space="preserve">Every finding is sourced. Findings 2, 3 and 7 must be resolved before any page is built.</t>
  </si>
  <si>
    <t xml:space="preserve">Finding</t>
  </si>
  <si>
    <t xml:space="preserve">Source</t>
  </si>
  <si>
    <t xml:space="preserve">1. The honest starting position</t>
  </si>
  <si>
    <t xml:space="preserve">hiver.com.np is a partially built WordPress/Elementor template, not a functioning agency site. It carries an 'Under Construction' banner, unedited demo testimonials, placeholder client-logo alt text, and nav/footer links that point to '#'. There are no service pages. Treat this as a build, not an optimisation.</t>
  </si>
  <si>
    <t xml:space="preserve">[VERIFIED-SITE]</t>
  </si>
  <si>
    <t xml:space="preserve">2. The domain is a structural handicap</t>
  </si>
  <si>
    <t xml:space="preserve">.com.np is a Nepal country-code namespace. Google treats ccTLDs as a geographic signal and Search Console's international-targeting override has historically applied only to generic TLDs. Competing for US/AU/UK commercial terms from this domain adds a headwind on top of the authority gap. A gTLD decision must be made before any URL is built.</t>
  </si>
  <si>
    <t xml:space="preserve">[STRATEGIC-JUDGEMENT]</t>
  </si>
  <si>
    <t xml:space="preserve">3. The brand name is taken</t>
  </si>
  <si>
    <t xml:space="preserve">'Hiver' is an established customer-service SaaS company (hiverhq.com) with a large review and content footprint. The branded SERP is not winnable. All navigational search must be built around 'Hiver Technology'. Trademark exposure in the US/AU/UK is a question for a qualified attorney, not for this workbook.</t>
  </si>
  <si>
    <t xml:space="preserve">4. The competitor proves the market is winnable</t>
  </si>
  <si>
    <t xml:space="preserve">Nexly runs 253 URLs: 69 templated Shopify service pages, 119 blog posts, 15 integration pages, 11 migration pages, 7 case studies. Its co-founder and SEO lead links to a Nepal LinkedIn profile while two directors link to Australian profiles. A distributed Nepal-plus-onshore team is already competing successfully for Australian Shopify work. This is the closest available model of what works.</t>
  </si>
  <si>
    <t xml:space="preserve">[VERIFIED-FILE]</t>
  </si>
  <si>
    <t xml:space="preserve">5. The competitor's weaknesses are Hiver's openings</t>
  </si>
  <si>
    <t xml:space="preserve">Across all 253 Nexly URLs the audit detected no structured data at all, every page has images missing alt text, 122 titles exceed 60 characters, 31 pages have no meta description, and 27 pages are under 300 words (team pages, case studies, blog categories). Case studies average roughly 400 words despite carrying strong results.</t>
  </si>
  <si>
    <t xml:space="preserve">6. Where Hiver can realistically rank first</t>
  </si>
  <si>
    <t xml:space="preserve">Not on head terms. The winnable ground is narrow and specific: integration and migration pairings, platform-plus-problem queries, cost and comparison questions, 'hire a dedicated developer' intent where offshore delivery is an advantage, and the vertical software categories tied to Hiver's own products. See the Winnability tier column on Master Keywords.</t>
  </si>
  <si>
    <t xml:space="preserve">7. The Shopify plan is gated on capability</t>
  </si>
  <si>
    <t xml:space="preserve">The brief treats Shopify as a flagship service, but no Shopify page exists on hiver.com.np and Hiver's Shopify track record is unconfirmed. Every Shopify page in this workbook is marked capability-gated. Do not publish them until Hiver confirms delivered stores, Partner status and at least one referenceable project.</t>
  </si>
  <si>
    <t xml:space="preserve">8. The overlooked asset</t>
  </si>
  <si>
    <t xml:space="preserve">Hiver's footer lists vertical software products (school, dental, clinic, HR management) that the original brief never mentioned. Product-category search is typically less contested than agency search and monetises directly. This deserves its own section and its own decision.</t>
  </si>
  <si>
    <t xml:space="preserve">9. Distribution matters as much as ranking</t>
  </si>
  <si>
    <t xml:space="preserve">For agency buying in the US/AU/UK, Clutch, G2, DesignRush, GoodFirms, Upwork and the Shopify Partner directory frequently occupy the commercial SERP and are where shortlists form. Profile completion is a launch-phase task, not a later one.</t>
  </si>
  <si>
    <t xml:space="preserve">10. What has to happen first</t>
  </si>
  <si>
    <t xml:space="preserve">Phase 0 is unblocking, not SEO: remove the construction banner, delete the demo testimonials and placeholder logos, fix every '#' link, resolve the domain and brand decisions, install analytics and Search Console, replace the 'superadmin' author identity. Nothing else in this workbook is worth doing before that.</t>
  </si>
  <si>
    <t xml:space="preserve">Hiver baseline audit - live site, verified 2026-08-14</t>
  </si>
  <si>
    <t xml:space="preserve">Observed directly on hiver.com.np. Re-verify before acting; the site may change.</t>
  </si>
  <si>
    <t xml:space="preserve">ID</t>
  </si>
  <si>
    <t xml:space="preserve">Area</t>
  </si>
  <si>
    <t xml:space="preserve">Evidence</t>
  </si>
  <si>
    <t xml:space="preserve">Business impact</t>
  </si>
  <si>
    <t xml:space="preserve">Severity</t>
  </si>
  <si>
    <t xml:space="preserve">Owner</t>
  </si>
  <si>
    <t xml:space="preserve">Action</t>
  </si>
  <si>
    <t xml:space="preserve">B01</t>
  </si>
  <si>
    <t xml:space="preserve">Trust</t>
  </si>
  <si>
    <t xml:space="preserve">Site displays an 'Website Still Under Construction' banner</t>
  </si>
  <si>
    <t xml:space="preserve">Homepage, observed 2026-08-14</t>
  </si>
  <si>
    <t xml:space="preserve">Any US/AU/UK buyer who lands here disqualifies Hiver in seconds</t>
  </si>
  <si>
    <t xml:space="preserve">Blocker</t>
  </si>
  <si>
    <t xml:space="preserve">Marketing</t>
  </si>
  <si>
    <t xml:space="preserve">Remove banner or take the site offline until launch-ready</t>
  </si>
  <si>
    <t xml:space="preserve">B02</t>
  </si>
  <si>
    <t xml:space="preserve">Legal / Trust</t>
  </si>
  <si>
    <t xml:space="preserve">Six testimonials are unedited theme demo content ('Sarah', 'John Farrel', 'John Doe Iswanto', 'Jackma Kalin', 'Darsono', 'Ismail'); copy refers to a copywriting service</t>
  </si>
  <si>
    <t xml:space="preserve">Homepage testimonials block</t>
  </si>
  <si>
    <t xml:space="preserve">Fabricated endorsements. Consumer-protection exposure with the FTC (US), ACCC (AU) and CMA/ASA (UK); severe E-E-A-T damage</t>
  </si>
  <si>
    <t xml:space="preserve">Founder</t>
  </si>
  <si>
    <t xml:space="preserve">Delete entirely. Do not rewrite. Replace only with permissioned real testimonials</t>
  </si>
  <si>
    <t xml:space="preserve">B03</t>
  </si>
  <si>
    <t xml:space="preserve">Client logo alt text reads 'Brand Name : Brand Short Description Type Here.'; one logo in the client strip is Hiver's own logo</t>
  </si>
  <si>
    <t xml:space="preserve">Homepage client strip</t>
  </si>
  <si>
    <t xml:space="preserve">Placeholder content shipped live; implies fabricated client roster</t>
  </si>
  <si>
    <t xml:space="preserve">Remove until real permissioned logos exist</t>
  </si>
  <si>
    <t xml:space="preserve">B04</t>
  </si>
  <si>
    <t xml:space="preserve">Crawl / IA</t>
  </si>
  <si>
    <t xml:space="preserve">Almost all main nav and footer links resolve to '#'</t>
  </si>
  <si>
    <t xml:space="preserve">Header and footer markup</t>
  </si>
  <si>
    <t xml:space="preserve">No crawlable internal link graph. Existing child pages are effectively orphaned</t>
  </si>
  <si>
    <t xml:space="preserve">Dev</t>
  </si>
  <si>
    <t xml:space="preserve">Build the real URL structure and wire every nav item to it</t>
  </si>
  <si>
    <t xml:space="preserve">B05</t>
  </si>
  <si>
    <t xml:space="preserve">Architecture</t>
  </si>
  <si>
    <t xml:space="preserve">No service pages exist. Live services are only listed as homepage cards: Web Applications, Mobile Apps, Responsive Websites, CRM Web Applications, UI/UX Design, Digital Marketing</t>
  </si>
  <si>
    <t xml:space="preserve">Homepage services block</t>
  </si>
  <si>
    <t xml:space="preserve">Zero commercial landing pages; nothing can rank or convert</t>
  </si>
  <si>
    <t xml:space="preserve">Critical</t>
  </si>
  <si>
    <t xml:space="preserve">Content</t>
  </si>
  <si>
    <t xml:space="preserve">Build the P0 service pages in the URL Map tab</t>
  </si>
  <si>
    <t xml:space="preserve">B06</t>
  </si>
  <si>
    <t xml:space="preserve">Scope mismatch</t>
  </si>
  <si>
    <t xml:space="preserve">The brief's service list (Shopify, SEO services, email marketing, automations) does not exist on the live site</t>
  </si>
  <si>
    <t xml:space="preserve">Site vs brief comparison</t>
  </si>
  <si>
    <t xml:space="preserve">Plan must be a build, and Shopify/SEO pages must be capability-gated</t>
  </si>
  <si>
    <t xml:space="preserve">Confirm which services are genuinely delivered today (see Data Required tab)</t>
  </si>
  <si>
    <t xml:space="preserve">B07</t>
  </si>
  <si>
    <t xml:space="preserve">Opportunity</t>
  </si>
  <si>
    <t xml:space="preserve">Footer lists products: School Management, Dental Management, Clinic Management, HR Software, Employee Management</t>
  </si>
  <si>
    <t xml:space="preserve">Footer products column</t>
  </si>
  <si>
    <t xml:space="preserve">Potentially the strongest and least contested search opportunity; absent from the brief</t>
  </si>
  <si>
    <t xml:space="preserve">Critical opportunity</t>
  </si>
  <si>
    <t xml:space="preserve">Confirm product status, then build the /products/ section</t>
  </si>
  <si>
    <t xml:space="preserve">B08</t>
  </si>
  <si>
    <t xml:space="preserve">URL structure</t>
  </si>
  <si>
    <t xml:space="preserve">Blog posts sit at root (e.g. /programmer-developer-and-engineer-explained/) while /insights/ also exists</t>
  </si>
  <si>
    <t xml:space="preserve">Homepage news block</t>
  </si>
  <si>
    <t xml:space="preserve">Inconsistent structure; a redirect map is required before restructuring</t>
  </si>
  <si>
    <t xml:space="preserve">High</t>
  </si>
  <si>
    <t xml:space="preserve">Move posts under /insights/ with 301s; never leave both live</t>
  </si>
  <si>
    <t xml:space="preserve">B09</t>
  </si>
  <si>
    <t xml:space="preserve">E-E-A-T</t>
  </si>
  <si>
    <t xml:space="preserve">Author metadata is 'superadmin'</t>
  </si>
  <si>
    <t xml:space="preserve">twitter:data1 meta value</t>
  </si>
  <si>
    <t xml:space="preserve">No human author entity; fails author-level E-E-A-T and looks unmaintained</t>
  </si>
  <si>
    <t xml:space="preserve">Create real author profiles with credentials and byline them</t>
  </si>
  <si>
    <t xml:space="preserve">B10</t>
  </si>
  <si>
    <t xml:space="preserve">Content quality</t>
  </si>
  <si>
    <t xml:space="preserve">Visible typos in live copy: 'Developemnt', 'Transfering', "help's", 'Insitagram'</t>
  </si>
  <si>
    <t xml:space="preserve">Homepage and footer</t>
  </si>
  <si>
    <t xml:space="preserve">Premium-market buyers read this as low care and low capability</t>
  </si>
  <si>
    <t xml:space="preserve">Full copy proof before launch</t>
  </si>
  <si>
    <t xml:space="preserve">B11</t>
  </si>
  <si>
    <t xml:space="preserve">On-page</t>
  </si>
  <si>
    <t xml:space="preserve">Homepage title is 'Hiver Technology | AI-Powered Software, Apps &amp; Web Solutions'</t>
  </si>
  <si>
    <t xml:space="preserve">Title tag</t>
  </si>
  <si>
    <t xml:space="preserve">No commercial keyword, no market signal, no service specificity</t>
  </si>
  <si>
    <t xml:space="preserve">SEO</t>
  </si>
  <si>
    <t xml:space="preserve">Rewrite per the Page SEO tab</t>
  </si>
  <si>
    <t xml:space="preserve">B12</t>
  </si>
  <si>
    <t xml:space="preserve">Technical</t>
  </si>
  <si>
    <t xml:space="preserve">WordPress with Elementor 4.1.4</t>
  </si>
  <si>
    <t xml:space="preserve">meta generator</t>
  </si>
  <si>
    <t xml:space="preserve">Determines the whole performance and schema approach; Elementor carries a real Core Web Vitals cost</t>
  </si>
  <si>
    <t xml:space="preserve">Context</t>
  </si>
  <si>
    <t xml:space="preserve">See Technical SEO tab; evaluate a lighter build path</t>
  </si>
  <si>
    <t xml:space="preserve">B13</t>
  </si>
  <si>
    <t xml:space="preserve">Geo / domain</t>
  </si>
  <si>
    <t xml:space="preserve">Domain is hiver.com.np; business address Imadole, Lalitpur; phone +977</t>
  </si>
  <si>
    <t xml:space="preserve">Footer and domain</t>
  </si>
  <si>
    <t xml:space="preserve">ccTLD ties the site to Nepal as a geographic signal while targeting US/AU/UK</t>
  </si>
  <si>
    <t xml:space="preserve">Structural</t>
  </si>
  <si>
    <t xml:space="preserve">Resolve the domain decision before building URLs</t>
  </si>
  <si>
    <t xml:space="preserve">B14</t>
  </si>
  <si>
    <t xml:space="preserve">Brand</t>
  </si>
  <si>
    <t xml:space="preserve">'Hiver' collides with an established SaaS brand at hiverhq.com</t>
  </si>
  <si>
    <t xml:space="preserve">Web search 2026-08-14</t>
  </si>
  <si>
    <t xml:space="preserve">Branded SERP unwinnable; entity confusion; trademark question</t>
  </si>
  <si>
    <t xml:space="preserve">Founder + counsel</t>
  </si>
  <si>
    <t xml:space="preserve">Standardise on 'Hiver Technology'; take trademark advice</t>
  </si>
  <si>
    <t xml:space="preserve">B15</t>
  </si>
  <si>
    <t xml:space="preserve">Content freshness</t>
  </si>
  <si>
    <t xml:space="preserve">Latest visible posts date to 2024; one is Nepal-positioned</t>
  </si>
  <si>
    <t xml:space="preserve">Topical footprint is Nepal-domestic, not international</t>
  </si>
  <si>
    <t xml:space="preserve">Medium</t>
  </si>
  <si>
    <t xml:space="preserve">Publish to the Content Calendar cadence</t>
  </si>
  <si>
    <t xml:space="preserve">B16</t>
  </si>
  <si>
    <t xml:space="preserve">Measurement</t>
  </si>
  <si>
    <t xml:space="preserve">No evidence of GA4 or an active Search Console property</t>
  </si>
  <si>
    <t xml:space="preserve">Site inspection; DATA REQUIRED to confirm</t>
  </si>
  <si>
    <t xml:space="preserve">No baseline; performance cannot be judged</t>
  </si>
  <si>
    <t xml:space="preserve">Install GA4 + GTM + GSC + Bing before any content ships</t>
  </si>
  <si>
    <t xml:space="preserve">B17</t>
  </si>
  <si>
    <t xml:space="preserve">Schema</t>
  </si>
  <si>
    <t xml:space="preserve">No meaningful structured data observed beyond WordPress defaults</t>
  </si>
  <si>
    <t xml:space="preserve">Site inspection</t>
  </si>
  <si>
    <t xml:space="preserve">Missing Organization/entity disambiguation, which matters more than usual given the brand collision</t>
  </si>
  <si>
    <t xml:space="preserve">See Schema Plan tab</t>
  </si>
  <si>
    <t xml:space="preserve">B18</t>
  </si>
  <si>
    <t xml:space="preserve">Images</t>
  </si>
  <si>
    <t xml:space="preserve">Hero and section imagery is generic stock (e.g. pexels files)</t>
  </si>
  <si>
    <t xml:space="preserve">Homepage image paths</t>
  </si>
  <si>
    <t xml:space="preserve">Reads as templated; no product or interface proof</t>
  </si>
  <si>
    <t xml:space="preserve">Design</t>
  </si>
  <si>
    <t xml:space="preserve">Replace with real interface, product and process visuals</t>
  </si>
  <si>
    <t xml:space="preserve">Competitor benchmark - nexly.com.au (253 URLs)</t>
  </si>
  <si>
    <t xml:space="preserve">All figures from the supplied audit file. This is the depth and structure bar Hiver is measured against.</t>
  </si>
  <si>
    <t xml:space="preserve">Metric</t>
  </si>
  <si>
    <t xml:space="preserve">Competitor</t>
  </si>
  <si>
    <t xml:space="preserve">Hiver today</t>
  </si>
  <si>
    <t xml:space="preserve">What it means for Hiver</t>
  </si>
  <si>
    <t xml:space="preserve">Total indexable URLs discovered</t>
  </si>
  <si>
    <t xml:space="preserve">253</t>
  </si>
  <si>
    <t xml:space="preserve">Approx. 6 reachable, most nav links dead</t>
  </si>
  <si>
    <t xml:space="preserve">Hiver needs a real site before it needs an SEO plan</t>
  </si>
  <si>
    <t xml:space="preserve">[VERIFIED-FILE] / [VERIFIED-SITE]</t>
  </si>
  <si>
    <t xml:space="preserve">Templated service pages</t>
  </si>
  <si>
    <t xml:space="preserve">69</t>
  </si>
  <si>
    <t xml:space="preserve">0</t>
  </si>
  <si>
    <t xml:space="preserve">The single biggest structural gap</t>
  </si>
  <si>
    <t xml:space="preserve">Median words, service page</t>
  </si>
  <si>
    <t xml:space="preserve">1,281 (range 839-2,446)</t>
  </si>
  <si>
    <t xml:space="preserve">n/a</t>
  </si>
  <si>
    <t xml:space="preserve">This is the depth bar for a Hiver service page: roughly 1,200-1,600 words</t>
  </si>
  <si>
    <t xml:space="preserve">H2 sections per service page</t>
  </si>
  <si>
    <t xml:space="preserve">11 (highly consistent)</t>
  </si>
  <si>
    <t xml:space="preserve">Evidence of one reusable template applied at scale, not bespoke pages</t>
  </si>
  <si>
    <t xml:space="preserve">Blog posts</t>
  </si>
  <si>
    <t xml:space="preserve">119</t>
  </si>
  <si>
    <t xml:space="preserve">2 (2024, Nepal-focused)</t>
  </si>
  <si>
    <t xml:space="preserve">Content programme is the competitor's main moat</t>
  </si>
  <si>
    <t xml:space="preserve">Median words, blog post</t>
  </si>
  <si>
    <t xml:space="preserve">1,837 (range 519-2,471)</t>
  </si>
  <si>
    <t xml:space="preserve">Depth bar for Hiver insight articles</t>
  </si>
  <si>
    <t xml:space="preserve">Integration pages</t>
  </si>
  <si>
    <t xml:space="preserve">15 (Xero, MYOB, NetSuite, SAP, Cin7, HubSpot, Salesforce, Klaviyo, Dynamics 365, Akeneo, Shippit, Starshipit, Australia Post, 3PL/WMS)</t>
  </si>
  <si>
    <t xml:space="preserve">Platform-plus-system pairings are the clearest winnable long-tail pattern in the whole dataset</t>
  </si>
  <si>
    <t xml:space="preserve">Median words, integration page</t>
  </si>
  <si>
    <t xml:space="preserve">968 (8-9 H2s)</t>
  </si>
  <si>
    <t xml:space="preserve">Shorter than service pages; a realistic first content target</t>
  </si>
  <si>
    <t xml:space="preserve">Migration pages</t>
  </si>
  <si>
    <t xml:space="preserve">11 (Magento, Adobe Commerce, BigCommerce, WooCommerce, PrestaShop, OpenCart, SFCC, custom platform, theme, Shopify-to-Plus)</t>
  </si>
  <si>
    <t xml:space="preserve">'X to Y migration' is a repeatable, high-intent page pattern</t>
  </si>
  <si>
    <t xml:space="preserve">Case studies</t>
  </si>
  <si>
    <t xml:space="preserve">7 (EzyDog AU/NZ/UK/EU/USA, Town &amp; Country Covers)</t>
  </si>
  <si>
    <t xml:space="preserve">One client family carries five of seven case studies</t>
  </si>
  <si>
    <t xml:space="preserve">Median words, case study</t>
  </si>
  <si>
    <t xml:space="preserve">399 (range 344-747)</t>
  </si>
  <si>
    <t xml:space="preserve">Thin. Hiver can beat this on depth with a single well-documented project</t>
  </si>
  <si>
    <t xml:space="preserve">Team pages</t>
  </si>
  <si>
    <t xml:space="preserve">8 individual profiles, median 123 words</t>
  </si>
  <si>
    <t xml:space="preserve">A /team/ page exists</t>
  </si>
  <si>
    <t xml:space="preserve">Indexable but thin; low bar to beat</t>
  </si>
  <si>
    <t xml:space="preserve">Blog category pages</t>
  </si>
  <si>
    <t xml:space="preserve">16, median 251 words, no meta descriptions</t>
  </si>
  <si>
    <t xml:space="preserve">Thin indexable archives; a mistake to copy</t>
  </si>
  <si>
    <t xml:space="preserve">Internal links per page</t>
  </si>
  <si>
    <t xml:space="preserve">Median 248</t>
  </si>
  <si>
    <t xml:space="preserve">Effectively 0 crawlable</t>
  </si>
  <si>
    <t xml:space="preserve">Driven by a mega-nav/footer, not editorial links</t>
  </si>
  <si>
    <t xml:space="preserve">Most-linked internal target</t>
  </si>
  <si>
    <t xml:space="preserve">/project-enquiry/ (1,129 inbound link instances), plus service-prefilled variants such as ?service=migrate-to-shopify</t>
  </si>
  <si>
    <t xml:space="preserve">Every page funnels to one qualified enquiry form. Copy this behaviour, not the query-string sprawl</t>
  </si>
  <si>
    <t xml:space="preserve">Structured data detected</t>
  </si>
  <si>
    <t xml:space="preserve">None across all 253 URLs</t>
  </si>
  <si>
    <t xml:space="preserve">None</t>
  </si>
  <si>
    <t xml:space="preserve">A genuine, immediate differentiator for Hiver</t>
  </si>
  <si>
    <t xml:space="preserve">Images missing alt text</t>
  </si>
  <si>
    <t xml:space="preserve">253 of 253 pages affected</t>
  </si>
  <si>
    <t xml:space="preserve">Placeholder alt text present</t>
  </si>
  <si>
    <t xml:space="preserve">Competitor publishes a WCAG accessibility service while failing basic alt text</t>
  </si>
  <si>
    <t xml:space="preserve">Titles over 60 characters</t>
  </si>
  <si>
    <t xml:space="preserve">122 of 253</t>
  </si>
  <si>
    <t xml:space="preserve">Widespread SERP truncation; easy CTR edge for Hiver</t>
  </si>
  <si>
    <t xml:space="preserve">Missing meta descriptions</t>
  </si>
  <si>
    <t xml:space="preserve">31 (team, case studies, categories)</t>
  </si>
  <si>
    <t xml:space="preserve">Present on homepage</t>
  </si>
  <si>
    <t xml:space="preserve">Low-effort gap</t>
  </si>
  <si>
    <t xml:space="preserve">Thin pages under 300 words</t>
  </si>
  <si>
    <t xml:space="preserve">27</t>
  </si>
  <si>
    <t xml:space="preserve">Concentrated in team, case study and category templates</t>
  </si>
  <si>
    <t xml:space="preserve">External outbound links</t>
  </si>
  <si>
    <t xml:space="preserve">188 total, almost entirely team LinkedIn profiles and client store links</t>
  </si>
  <si>
    <t xml:space="preserve">No citation or research-backed content; an opening for genuinely sourced material</t>
  </si>
  <si>
    <t xml:space="preserve">Positioning claim</t>
  </si>
  <si>
    <t xml:space="preserve">'A small, senior team of Australian Shopify specialists', '100% custom code, no page-builders', 'no offshoring, no juniors'</t>
  </si>
  <si>
    <t xml:space="preserve">Generic 'next-gen software solutions'</t>
  </si>
  <si>
    <t xml:space="preserve">The competitor weaponises the anti-offshore objection directly. Hiver must decide its own honest answer to it</t>
  </si>
  <si>
    <t xml:space="preserve">Team geography signal</t>
  </si>
  <si>
    <t xml:space="preserve">Co-founder/SEO lead links to a Nepal LinkedIn profile; two directors link to Australian profiles</t>
  </si>
  <si>
    <t xml:space="preserve">Nepal only</t>
  </si>
  <si>
    <t xml:space="preserve">A distributed Nepal-plus-onshore structure is already competing successfully in this market</t>
  </si>
  <si>
    <t xml:space="preserve">Enquiry form design</t>
  </si>
  <si>
    <t xml:space="preserve">Three-step, service-conditional, captures platform, revenue band, budget band (A$10k-25k up to A$100k+), start date, plus per-service qualifiers</t>
  </si>
  <si>
    <t xml:space="preserve">Single 'Get a Quote' link</t>
  </si>
  <si>
    <t xml:space="preserve">This is the conversion bar. See the Conversion tab</t>
  </si>
  <si>
    <t xml:space="preserve">CTA language observed</t>
  </si>
  <si>
    <t xml:space="preserve">Start a Project, Request a Migration Assessment, Request a Store Diagnostic, Request an Integration Review, Request a Growth Audit, Discuss Ongoing Support, Plan Your B2B Project</t>
  </si>
  <si>
    <t xml:space="preserve">Get a Quote</t>
  </si>
  <si>
    <t xml:space="preserve">Intent-matched CTAs per page type outperform one generic quote link</t>
  </si>
  <si>
    <t xml:space="preserve">Case study proof style</t>
  </si>
  <si>
    <t xml:space="preserve">Named client, named markets, specific outcome claims, service tags, live store link</t>
  </si>
  <si>
    <t xml:space="preserve">Hiver cannot match this until it has permissioned client data. This is the critical blocker</t>
  </si>
  <si>
    <t xml:space="preserve">Page archetypes observed in the competitor set</t>
  </si>
  <si>
    <t xml:space="preserve">Extracted from real heading structures. Use as templates; do not copy wording.</t>
  </si>
  <si>
    <t xml:space="preserve">Page type</t>
  </si>
  <si>
    <t xml:space="preserve">Example URL</t>
  </si>
  <si>
    <t xml:space="preserve">Words</t>
  </si>
  <si>
    <t xml:space="preserve">H2 count</t>
  </si>
  <si>
    <t xml:space="preserve">Section sequence</t>
  </si>
  <si>
    <t xml:space="preserve">Why it works / how to beat it</t>
  </si>
  <si>
    <t xml:space="preserve">Service page</t>
  </si>
  <si>
    <t xml:space="preserve">/services/shopify-development/</t>
  </si>
  <si>
    <t xml:space="preserve">1,580</t>
  </si>
  <si>
    <t xml:space="preserve">12</t>
  </si>
  <si>
    <t xml:space="preserve">H1 outcome statement | Problem question | Choose your path | Choose approach | What we build | What you get, stage by stage | How we run a build | Tested before it ships | What it costs | FAQs | Related services | Intent-matched CTA | Site-wide CTA</t>
  </si>
  <si>
    <t xml:space="preserve">Cost section on a service page is unusual and high-value. Problem-first H2 as a question. Two CTAs: one page-specific, one site-wide.</t>
  </si>
  <si>
    <t xml:space="preserve">Migration page</t>
  </si>
  <si>
    <t xml:space="preserve">/migrations/magento-to-shopify/</t>
  </si>
  <si>
    <t xml:space="preserve">1,066</t>
  </si>
  <si>
    <t xml:space="preserve">8</t>
  </si>
  <si>
    <t xml:space="preserve">H1 'X to Y migration' | Why brands leave X | What moves across | What the migration covers | How it runs | FAQs | Related services | Assessment CTA | Site-wide CTA</t>
  </si>
  <si>
    <t xml:space="preserve">'What moves across' is the buyer's real question and the reason this page type converts. Repeatable per source platform.</t>
  </si>
  <si>
    <t xml:space="preserve">Integration page</t>
  </si>
  <si>
    <t xml:space="preserve">/integrations/shopify-xero/</t>
  </si>
  <si>
    <t xml:space="preserve">985</t>
  </si>
  <si>
    <t xml:space="preserve">9</t>
  </si>
  <si>
    <t xml:space="preserve">H1 'A + B integration' | The manual cost of not integrating | What syncs, which way | What a proper integration covers | How we build it | What it costs | FAQs | Related services | Scope CTA | Site-wide CTA</t>
  </si>
  <si>
    <t xml:space="preserve">Cheapest page type to produce (roughly 950 words) and the most obviously winnable pattern. 'What syncs, which way' is the differentiator.</t>
  </si>
  <si>
    <t xml:space="preserve">Case study</t>
  </si>
  <si>
    <t xml:space="preserve">/case-studies/ezydog-au/</t>
  </si>
  <si>
    <t xml:space="preserve">506</t>
  </si>
  <si>
    <t xml:space="preserve">3 (mostly H3 steps)</t>
  </si>
  <si>
    <t xml:space="preserve">H1 outcome sentence | Metric strip | Service tags | The challenge | What we did (numbered steps) | The outcome | More case studies | 'Could your store be next' CTA</t>
  </si>
  <si>
    <t xml:space="preserve">Short but effective because the metrics are specific. Hiver should use the same skeleton with more depth and verified numbers only.</t>
  </si>
  <si>
    <t xml:space="preserve">Homepage</t>
  </si>
  <si>
    <t xml:space="preserve">/</t>
  </si>
  <si>
    <t xml:space="preserve">3,136</t>
  </si>
  <si>
    <t xml:space="preserve">13</t>
  </si>
  <si>
    <t xml:space="preserve">Outcome H1 | Client logos | Value proposition | Primary service depth | Why the approach | Comparison table | What's included | Tech stack | Process | Proof | Named team with photos | FAQ | CTA</t>
  </si>
  <si>
    <t xml:space="preserve">Named team on the homepage is a deliberate trust device for a remote-delivery buyer. Hiver should copy the intent, not the layout.</t>
  </si>
  <si>
    <t xml:space="preserve">Enquiry page</t>
  </si>
  <si>
    <t xml:space="preserve">/project-enquiry/</t>
  </si>
  <si>
    <t xml:space="preserve">862</t>
  </si>
  <si>
    <t xml:space="preserve">5</t>
  </si>
  <si>
    <t xml:space="preserve">Three steps: Project (multi-select services) | Business (URL, platform, revenue band, budget band, start date) | Contact, with conditional per-service qualifier blocks</t>
  </si>
  <si>
    <t xml:space="preserve">Qualification happens in the form, not in a sales call. This is the single most copyable asset in the competitor set.</t>
  </si>
  <si>
    <t xml:space="preserve">Competitor gap matrix</t>
  </si>
  <si>
    <t xml:space="preserve">Opportunity ranks the size of the prize; Effort ranks what it costs Hiver to close.</t>
  </si>
  <si>
    <t xml:space="preserve">Topic / asset</t>
  </si>
  <si>
    <t xml:space="preserve">Hiver</t>
  </si>
  <si>
    <t xml:space="preserve">Gap type</t>
  </si>
  <si>
    <t xml:space="preserve">Effort</t>
  </si>
  <si>
    <t xml:space="preserve">Priority</t>
  </si>
  <si>
    <t xml:space="preserve">Recommendation</t>
  </si>
  <si>
    <t xml:space="preserve">Commercial service pages</t>
  </si>
  <si>
    <t xml:space="preserve">69 templated pages</t>
  </si>
  <si>
    <t xml:space="preserve">Service</t>
  </si>
  <si>
    <t xml:space="preserve">P0</t>
  </si>
  <si>
    <t xml:space="preserve">Build 8-10 genuinely differentiated service pages first. Do not attempt 69.</t>
  </si>
  <si>
    <t xml:space="preserve">Integration pages (platform + system)</t>
  </si>
  <si>
    <t xml:space="preserve">15 pages, ~968 words each</t>
  </si>
  <si>
    <t xml:space="preserve">Content / long-tail</t>
  </si>
  <si>
    <t xml:space="preserve">P1</t>
  </si>
  <si>
    <t xml:space="preserve">Strongest winnable pattern in the dataset. Build only for systems Hiver has actually integrated.</t>
  </si>
  <si>
    <t xml:space="preserve">Migration pages (X to Y)</t>
  </si>
  <si>
    <t xml:space="preserve">11 pages</t>
  </si>
  <si>
    <t xml:space="preserve">Content / high intent</t>
  </si>
  <si>
    <t xml:space="preserve">Start with WordPress/WooCommerce migrations where Hiver's capability is most credible.</t>
  </si>
  <si>
    <t xml:space="preserve">Structured data</t>
  </si>
  <si>
    <t xml:space="preserve">None detected on 253 URLs</t>
  </si>
  <si>
    <t xml:space="preserve">Low</t>
  </si>
  <si>
    <t xml:space="preserve">Immediate differentiator. Organization, WebSite, BreadcrumbList, Service, Article, Person, SoftwareApplication.</t>
  </si>
  <si>
    <t xml:space="preserve">Image alt text</t>
  </si>
  <si>
    <t xml:space="preserve">Placeholder text</t>
  </si>
  <si>
    <t xml:space="preserve">Missing on all 253 pages</t>
  </si>
  <si>
    <t xml:space="preserve">Technical / accessibility</t>
  </si>
  <si>
    <t xml:space="preserve">Trivial to win. Also required for the WCAG position below.</t>
  </si>
  <si>
    <t xml:space="preserve">Accessibility (WCAG 2.2 AA)</t>
  </si>
  <si>
    <t xml:space="preserve">Unknown</t>
  </si>
  <si>
    <t xml:space="preserve">Sells the service; fails basic alt text</t>
  </si>
  <si>
    <t xml:space="preserve">Trust / technical</t>
  </si>
  <si>
    <t xml:space="preserve">Compliance on Hiver's own site makes the claim credible and matters for AU/UK procurement.</t>
  </si>
  <si>
    <t xml:space="preserve">Title tag discipline</t>
  </si>
  <si>
    <t xml:space="preserve">Weak</t>
  </si>
  <si>
    <t xml:space="preserve">122 of 253 titles over 60 characters</t>
  </si>
  <si>
    <t xml:space="preserve">On-page / CTR</t>
  </si>
  <si>
    <t xml:space="preserve">Keep every title under 60 characters. See Page SEO tab.</t>
  </si>
  <si>
    <t xml:space="preserve">Case studies with verified metrics</t>
  </si>
  <si>
    <t xml:space="preserve">7, thin but specific</t>
  </si>
  <si>
    <t xml:space="preserve">Proof</t>
  </si>
  <si>
    <t xml:space="preserve">P0 (blocked)</t>
  </si>
  <si>
    <t xml:space="preserve">The hard blocker. One deeply documented, permissioned project beats seven thin ones.</t>
  </si>
  <si>
    <t xml:space="preserve">Named team with credentials</t>
  </si>
  <si>
    <t xml:space="preserve">Team page exists, thin</t>
  </si>
  <si>
    <t xml:space="preserve">8 profiles, median 123 words</t>
  </si>
  <si>
    <t xml:space="preserve">Beat this easily: real photos, real experience, real specialisms, linked LinkedIn profiles.</t>
  </si>
  <si>
    <t xml:space="preserve">Qualified enquiry form</t>
  </si>
  <si>
    <t xml:space="preserve">'Get a Quote' link</t>
  </si>
  <si>
    <t xml:space="preserve">3-step conditional qualifier</t>
  </si>
  <si>
    <t xml:space="preserve">Conversion</t>
  </si>
  <si>
    <t xml:space="preserve">Adopt the pattern. See Conversion tab for the recommended field set.</t>
  </si>
  <si>
    <t xml:space="preserve">Intent-matched CTAs</t>
  </si>
  <si>
    <t xml:space="preserve">One generic CTA</t>
  </si>
  <si>
    <t xml:space="preserve">7+ distinct CTA framings</t>
  </si>
  <si>
    <t xml:space="preserve">Match the CTA to page intent: audit, assessment, scope, discovery call.</t>
  </si>
  <si>
    <t xml:space="preserve">Cost / pricing content</t>
  </si>
  <si>
    <t xml:space="preserve">Cost sections on service pages plus dedicated cost posts</t>
  </si>
  <si>
    <t xml:space="preserve">Honest pricing bands are rare, rank well, and pre-qualify leads. Requires Hiver's real numbers.</t>
  </si>
  <si>
    <t xml:space="preserve">Comparison content</t>
  </si>
  <si>
    <t xml:space="preserve">Extensive (platform vs platform, freelancer vs agency)</t>
  </si>
  <si>
    <t xml:space="preserve">Winnable without authority and captures buyers mid-decision.</t>
  </si>
  <si>
    <t xml:space="preserve">Third-party review platforms</t>
  </si>
  <si>
    <t xml:space="preserve">Not evidenced in the file</t>
  </si>
  <si>
    <t xml:space="preserve">Distribution</t>
  </si>
  <si>
    <t xml:space="preserve">Clutch, G2, DesignRush, GoodFirms, Upwork, Shopify Partner directory. Often the SERP itself.</t>
  </si>
  <si>
    <t xml:space="preserve">Original data / research</t>
  </si>
  <si>
    <t xml:space="preserve">None; 188 outbound links, mostly LinkedIn</t>
  </si>
  <si>
    <t xml:space="preserve">Authority</t>
  </si>
  <si>
    <t xml:space="preserve">P2</t>
  </si>
  <si>
    <t xml:space="preserve">The only reliable link-earning asset available to a new domain.</t>
  </si>
  <si>
    <t xml:space="preserve">Vertical software products</t>
  </si>
  <si>
    <t xml:space="preserve">5 products listed in footer</t>
  </si>
  <si>
    <t xml:space="preserve">None (agency only)</t>
  </si>
  <si>
    <t xml:space="preserve">Positioning</t>
  </si>
  <si>
    <t xml:space="preserve">A category the competitor cannot follow Hiver into. Confirm product status first.</t>
  </si>
  <si>
    <t xml:space="preserve">Dedicated team / staff augmentation</t>
  </si>
  <si>
    <t xml:space="preserve">Explicitly rejects offshoring</t>
  </si>
  <si>
    <t xml:space="preserve">The one commercial position where Hiver's structure is an advantage rather than an objection.</t>
  </si>
  <si>
    <t xml:space="preserve">Country targeting</t>
  </si>
  <si>
    <t xml:space="preserve">.com.au ccTLD, Australia-specific content throughout</t>
  </si>
  <si>
    <t xml:space="preserve">Geographic</t>
  </si>
  <si>
    <t xml:space="preserve">Hiver cannot match a local ccTLD signal. Compete on specificity, not on geography.</t>
  </si>
  <si>
    <t xml:space="preserve">Industry pages</t>
  </si>
  <si>
    <t xml:space="preserve">10 listed, none built</t>
  </si>
  <si>
    <t xml:space="preserve">Industry-tagged content, no dedicated hub</t>
  </si>
  <si>
    <t xml:space="preserve">Build at most 2-3, each anchored to a real case study. Drop the rest.</t>
  </si>
  <si>
    <t xml:space="preserve">Thin category archives</t>
  </si>
  <si>
    <t xml:space="preserve">16 thin indexable categories</t>
  </si>
  <si>
    <t xml:space="preserve">Avoid</t>
  </si>
  <si>
    <t xml:space="preserve">Do not copy. Noindex thin archives or give them real introductory content.</t>
  </si>
  <si>
    <t xml:space="preserve">Scoring model - edit the weights, every keyword score recalculates</t>
  </si>
  <si>
    <t xml:space="preserve">Blue cells are inputs. The four weights must total 100%. Winnability is not a fifth weight - it is a multiplier applied after the weighted score, so an unwinnable keyword cannot be scored into the launch plan by high commercial intent alone.</t>
  </si>
  <si>
    <t xml:space="preserve">Factor</t>
  </si>
  <si>
    <t xml:space="preserve">Weight</t>
  </si>
  <si>
    <t xml:space="preserve">What it measures</t>
  </si>
  <si>
    <t xml:space="preserve">Commercial intent</t>
  </si>
  <si>
    <t xml:space="preserve">How close the searcher is to paying someone</t>
  </si>
  <si>
    <t xml:space="preserve">Business value / capability fit</t>
  </si>
  <si>
    <t xml:space="preserve">Deal size, and whether Hiver can genuinely deliver it today</t>
  </si>
  <si>
    <t xml:space="preserve">Search volume proxy</t>
  </si>
  <si>
    <t xml:space="preserve">1-5 judgement until real tool data replaces it</t>
  </si>
  <si>
    <t xml:space="preserve">Strategic relevance</t>
  </si>
  <si>
    <t xml:space="preserve">Cluster and positioning value beyond the single keyword</t>
  </si>
  <si>
    <t xml:space="preserve">Total</t>
  </si>
  <si>
    <t xml:space="preserve">Must equal 100%</t>
  </si>
  <si>
    <t xml:space="preserve">Winnability tier table - the multiplier applied to the weighted score</t>
  </si>
  <si>
    <t xml:space="preserve">Tier</t>
  </si>
  <si>
    <t xml:space="preserve">Multiplier</t>
  </si>
  <si>
    <t xml:space="preserve">Meaning</t>
  </si>
  <si>
    <t xml:space="preserve">How to recognise it in the SERP</t>
  </si>
  <si>
    <t xml:space="preserve">A</t>
  </si>
  <si>
    <t xml:space="preserve">Winnable in 0-6 months</t>
  </si>
  <si>
    <t xml:space="preserve">Top 10 contains thin, off-intent or non-agency results. Usually 4+ word specific phrases. Target these now.</t>
  </si>
  <si>
    <t xml:space="preserve">B</t>
  </si>
  <si>
    <t xml:space="preserve">Winnable in 6-12 months with depth plus some links</t>
  </si>
  <si>
    <t xml:space="preserve">Top 10 is mostly mid-authority agencies with adequate but beatable pages.</t>
  </si>
  <si>
    <t xml:space="preserve">C</t>
  </si>
  <si>
    <t xml:space="preserve">Winnable only with 12-24 months of authority investment</t>
  </si>
  <si>
    <t xml:space="preserve">Top 10 is high-authority or directory-dominated. Build the page for coverage, but do not bet the launch on the keyword.</t>
  </si>
  <si>
    <t xml:space="preserve">D</t>
  </si>
  <si>
    <t xml:space="preserve">Not winnable as an organic bet</t>
  </si>
  <si>
    <t xml:space="preserve">Directory- or incumbent-locked. The page may still be needed for coverage; win the customer through paid, directories, partnerships or outbound instead.</t>
  </si>
  <si>
    <t xml:space="preserve">Method note</t>
  </si>
  <si>
    <t xml:space="preserve">Method: Weighted score = (commercial intent x W1 + business value x W2 + volume proxy x W3 + strategic relevance x W4) x 20, giving 0-100. Priority score = weighted score x the winnability multiplier for that keyword's tier. This is deliberate: a Tier D head term with perfect commercial intent lands near the bottom, which is the correct answer for a low-authority domain.
The four 1-5 inputs on the Master Keywords tab are the analyst's judgement, labelled [STRATEGIC-JUDGEMENT] unless the source column says otherwise. They are not tool metrics. Replace the volume proxy with real data as soon as an Ahrefs or Semrush seat exists, then re-read the priority order.
Rank band reads the keyword as an organic bet, not the page. A page can still be worth building for coverage while its head keyword is scored 'do not chase' - see the URL Map, where several such pages are P0.</t>
  </si>
  <si>
    <t xml:space="preserve">Master keyword universe</t>
  </si>
  <si>
    <t xml:space="preserve">No volume, difficulty or CPC figure has been invented. Columns F-H are yellow because they require a paid tool. Columns J-M are judgement scores. Column P is the weighted score; column Q multiplies it by the winnability tier, so unwinnable keywords cannot climb the list on commercial intent alone. Sort by column Q.</t>
  </si>
  <si>
    <t xml:space="preserve">Keyword</t>
  </si>
  <si>
    <t xml:space="preserve">Intent</t>
  </si>
  <si>
    <t xml:space="preserve">Country</t>
  </si>
  <si>
    <t xml:space="preserve">Target URL</t>
  </si>
  <si>
    <t xml:space="preserve">Volume</t>
  </si>
  <si>
    <t xml:space="preserve">KD</t>
  </si>
  <si>
    <t xml:space="preserve">CPC</t>
  </si>
  <si>
    <t xml:space="preserve">Metric source</t>
  </si>
  <si>
    <t xml:space="preserve">Commercial intent (1-5)</t>
  </si>
  <si>
    <t xml:space="preserve">Business value (1-5)</t>
  </si>
  <si>
    <t xml:space="preserve">Volume proxy (1-5)</t>
  </si>
  <si>
    <t xml:space="preserve">Strategic relevance (1-5)</t>
  </si>
  <si>
    <t xml:space="preserve">Winnability tier</t>
  </si>
  <si>
    <t xml:space="preserve">Tier multiplier</t>
  </si>
  <si>
    <t xml:space="preserve">Weighted score</t>
  </si>
  <si>
    <t xml:space="preserve">Priority score (0-100)</t>
  </si>
  <si>
    <t xml:space="preserve">Rank band as an organic bet</t>
  </si>
  <si>
    <t xml:space="preserve">Evidence source</t>
  </si>
  <si>
    <t xml:space="preserve">Note</t>
  </si>
  <si>
    <t xml:space="preserve">custom web application development</t>
  </si>
  <si>
    <t xml:space="preserve">Transactional</t>
  </si>
  <si>
    <t xml:space="preserve">US</t>
  </si>
  <si>
    <t xml:space="preserve">/services/web-application-development/</t>
  </si>
  <si>
    <t xml:space="preserve">DATA REQUIRED</t>
  </si>
  <si>
    <t xml:space="preserve">[DATA REQUIRED - PAID TOOL]</t>
  </si>
  <si>
    <t xml:space="preserve">[COMPETITOR-DERIVED]</t>
  </si>
  <si>
    <t xml:space="preserve">Head term; agency-dominated. Support page, not a first win</t>
  </si>
  <si>
    <t xml:space="preserve">custom web application development company</t>
  </si>
  <si>
    <t xml:space="preserve">Same intent as above; do not build a separate page</t>
  </si>
  <si>
    <t xml:space="preserve">web application development services</t>
  </si>
  <si>
    <t xml:space="preserve">UK</t>
  </si>
  <si>
    <t xml:space="preserve">custom crm development</t>
  </si>
  <si>
    <t xml:space="preserve">/services/crm-development/</t>
  </si>
  <si>
    <t xml:space="preserve">Hiver already lists CRM web apps as a live service</t>
  </si>
  <si>
    <t xml:space="preserve">custom crm software development company</t>
  </si>
  <si>
    <t xml:space="preserve">crm integration services</t>
  </si>
  <si>
    <t xml:space="preserve">Commercial</t>
  </si>
  <si>
    <t xml:space="preserve">build a custom crm instead of salesforce</t>
  </si>
  <si>
    <t xml:space="preserve">Informational</t>
  </si>
  <si>
    <t xml:space="preserve">/insights/custom-crm-vs-off-the-shelf/</t>
  </si>
  <si>
    <t xml:space="preserve">Insight</t>
  </si>
  <si>
    <t xml:space="preserve">Decision-stage question, low competition</t>
  </si>
  <si>
    <t xml:space="preserve">custom crm development cost</t>
  </si>
  <si>
    <t xml:space="preserve">/insights/custom-crm-development-cost/</t>
  </si>
  <si>
    <t xml:space="preserve">Cost content ranks and pre-qualifies. Needs Hiver's real bands</t>
  </si>
  <si>
    <t xml:space="preserve">hire dedicated development team</t>
  </si>
  <si>
    <t xml:space="preserve">/services/dedicated-development-team/</t>
  </si>
  <si>
    <t xml:space="preserve">The one position where Hiver's structure is an advantage</t>
  </si>
  <si>
    <t xml:space="preserve">hire dedicated wordpress developer</t>
  </si>
  <si>
    <t xml:space="preserve">Long-tail hire intent, weaker SERP</t>
  </si>
  <si>
    <t xml:space="preserve">hire offshore development team</t>
  </si>
  <si>
    <t xml:space="preserve">Buyer has already accepted the model</t>
  </si>
  <si>
    <t xml:space="preserve">dedicated developer monthly cost</t>
  </si>
  <si>
    <t xml:space="preserve">/insights/dedicated-developer-cost/</t>
  </si>
  <si>
    <t xml:space="preserve">Requires real rate bands from Hiver</t>
  </si>
  <si>
    <t xml:space="preserve">offshore vs onshore development agency</t>
  </si>
  <si>
    <t xml:space="preserve">AU</t>
  </si>
  <si>
    <t xml:space="preserve">/insights/offshore-vs-onshore-development/</t>
  </si>
  <si>
    <t xml:space="preserve">Competitor markets against offshoring; answer it honestly</t>
  </si>
  <si>
    <t xml:space="preserve">wordpress development company</t>
  </si>
  <si>
    <t xml:space="preserve">/services/wordpress-development/</t>
  </si>
  <si>
    <t xml:space="preserve">Head term, heavily contested</t>
  </si>
  <si>
    <t xml:space="preserve">wordpress development agency</t>
  </si>
  <si>
    <t xml:space="preserve">Same page; do not split</t>
  </si>
  <si>
    <t xml:space="preserve">headless wordpress development</t>
  </si>
  <si>
    <t xml:space="preserve">/services/wordpress-development/headless-wordpress/</t>
  </si>
  <si>
    <t xml:space="preserve">Sub-service</t>
  </si>
  <si>
    <t xml:space="preserve">Technical specificity narrows the field</t>
  </si>
  <si>
    <t xml:space="preserve">wordpress maintenance and support plans</t>
  </si>
  <si>
    <t xml:space="preserve">/services/wordpress-maintenance/</t>
  </si>
  <si>
    <t xml:space="preserve">Retainer revenue; competitor proves the retainer page pattern</t>
  </si>
  <si>
    <t xml:space="preserve">elementor to custom theme migration</t>
  </si>
  <si>
    <t xml:space="preserve">/services/wordpress-development/elementor-to-custom-theme/</t>
  </si>
  <si>
    <t xml:space="preserve">Hiver has direct experience of this problem on its own site</t>
  </si>
  <si>
    <t xml:space="preserve">wordpress site slow core web vitals fix</t>
  </si>
  <si>
    <t xml:space="preserve">/services/wordpress-performance-optimisation/</t>
  </si>
  <si>
    <t xml:space="preserve">Problem-led, high intent, weak SERPs</t>
  </si>
  <si>
    <t xml:space="preserve">wordpress to webflow or custom which is better</t>
  </si>
  <si>
    <t xml:space="preserve">/insights/wordpress-vs-webflow-vs-custom/</t>
  </si>
  <si>
    <t xml:space="preserve">wordpress website cost</t>
  </si>
  <si>
    <t xml:space="preserve">/insights/wordpress-website-cost/</t>
  </si>
  <si>
    <t xml:space="preserve">woocommerce development agency</t>
  </si>
  <si>
    <t xml:space="preserve">/services/woocommerce-development/</t>
  </si>
  <si>
    <t xml:space="preserve">Less contested than the Shopify equivalent</t>
  </si>
  <si>
    <t xml:space="preserve">woocommerce speed optimisation service</t>
  </si>
  <si>
    <t xml:space="preserve">/services/woocommerce-development/woocommerce-speed-optimisation/</t>
  </si>
  <si>
    <t xml:space="preserve">woocommerce to shopify migration</t>
  </si>
  <si>
    <t xml:space="preserve">/services/migrations/woocommerce-to-shopify/</t>
  </si>
  <si>
    <t xml:space="preserve">Migration</t>
  </si>
  <si>
    <t xml:space="preserve">Competitor ranks a dedicated page for this exact pairing</t>
  </si>
  <si>
    <t xml:space="preserve">shopify to woocommerce migration</t>
  </si>
  <si>
    <t xml:space="preserve">/services/migrations/shopify-to-woocommerce/</t>
  </si>
  <si>
    <t xml:space="preserve">Reverse direction is far less served</t>
  </si>
  <si>
    <t xml:space="preserve">woocommerce vs shopify for a growing store</t>
  </si>
  <si>
    <t xml:space="preserve">/insights/woocommerce-vs-shopify/</t>
  </si>
  <si>
    <t xml:space="preserve">Competitor has this; expect a strong incumbent</t>
  </si>
  <si>
    <t xml:space="preserve">shopify development agency</t>
  </si>
  <si>
    <t xml:space="preserve">/services/shopify-ecommerce/</t>
  </si>
  <si>
    <t xml:space="preserve">GATED. Competitor and local agencies own this. Not a first-year target</t>
  </si>
  <si>
    <t xml:space="preserve">shopify development company</t>
  </si>
  <si>
    <t xml:space="preserve">GATED. Same page as above</t>
  </si>
  <si>
    <t xml:space="preserve">shopify migration services</t>
  </si>
  <si>
    <t xml:space="preserve">/services/shopify-ecommerce/shopify-migration/</t>
  </si>
  <si>
    <t xml:space="preserve">GATED</t>
  </si>
  <si>
    <t xml:space="preserve">magento to shopify migration</t>
  </si>
  <si>
    <t xml:space="preserve">/services/migrations/magento-to-shopify/</t>
  </si>
  <si>
    <t xml:space="preserve">GATED. Competitor page is ~1,066 words</t>
  </si>
  <si>
    <t xml:space="preserve">shopify speed optimisation service</t>
  </si>
  <si>
    <t xml:space="preserve">/services/shopify-ecommerce/shopify-speed-optimisation/</t>
  </si>
  <si>
    <t xml:space="preserve">GATED. Narrow technical problem, more winnable than the head term</t>
  </si>
  <si>
    <t xml:space="preserve">shopify seo services</t>
  </si>
  <si>
    <t xml:space="preserve">/services/seo/shopify-seo/</t>
  </si>
  <si>
    <t xml:space="preserve">hire shopify developer</t>
  </si>
  <si>
    <t xml:space="preserve">GATED. Route to the dedicated-team page, not a new one</t>
  </si>
  <si>
    <t xml:space="preserve">shopify development cost</t>
  </si>
  <si>
    <t xml:space="preserve">/insights/shopify-development-cost/</t>
  </si>
  <si>
    <t xml:space="preserve">shopify xero integration</t>
  </si>
  <si>
    <t xml:space="preserve">/services/integrations/shopify-xero/</t>
  </si>
  <si>
    <t xml:space="preserve">Integration</t>
  </si>
  <si>
    <t xml:space="preserve">GATED. Competitor page ~985 words</t>
  </si>
  <si>
    <t xml:space="preserve">wordpress hubspot integration</t>
  </si>
  <si>
    <t xml:space="preserve">/services/integrations/wordpress-hubspot/</t>
  </si>
  <si>
    <t xml:space="preserve">Pattern transferred to Hiver's real stack</t>
  </si>
  <si>
    <t xml:space="preserve">wordpress salesforce integration</t>
  </si>
  <si>
    <t xml:space="preserve">/services/integrations/wordpress-salesforce/</t>
  </si>
  <si>
    <t xml:space="preserve">crm erp integration services</t>
  </si>
  <si>
    <t xml:space="preserve">/services/integrations/crm-erp-integration/</t>
  </si>
  <si>
    <t xml:space="preserve">High deal value</t>
  </si>
  <si>
    <t xml:space="preserve">custom api integration development</t>
  </si>
  <si>
    <t xml:space="preserve">/services/integrations/</t>
  </si>
  <si>
    <t xml:space="preserve">Hub</t>
  </si>
  <si>
    <t xml:space="preserve">school management software api integration</t>
  </si>
  <si>
    <t xml:space="preserve">Ties the agency and product sides together</t>
  </si>
  <si>
    <t xml:space="preserve">technical seo agency</t>
  </si>
  <si>
    <t xml:space="preserve">/services/seo/technical-seo/</t>
  </si>
  <si>
    <t xml:space="preserve">ecommerce seo agency</t>
  </si>
  <si>
    <t xml:space="preserve">/services/seo/ecommerce-seo/</t>
  </si>
  <si>
    <t xml:space="preserve">seo audit service</t>
  </si>
  <si>
    <t xml:space="preserve">/services/seo/seo-audit/</t>
  </si>
  <si>
    <t xml:space="preserve">Also the strongest lead-magnet offer</t>
  </si>
  <si>
    <t xml:space="preserve">wordpress seo services</t>
  </si>
  <si>
    <t xml:space="preserve">/services/seo/wordpress-seo/</t>
  </si>
  <si>
    <t xml:space="preserve">website migration seo checklist</t>
  </si>
  <si>
    <t xml:space="preserve">/insights/website-migration-seo-checklist/</t>
  </si>
  <si>
    <t xml:space="preserve">Hiver will run its own migration; write it from real experience</t>
  </si>
  <si>
    <t xml:space="preserve">marketing automation agency</t>
  </si>
  <si>
    <t xml:space="preserve">/services/marketing-automation/</t>
  </si>
  <si>
    <t xml:space="preserve">klaviyo email marketing agency</t>
  </si>
  <si>
    <t xml:space="preserve">/services/marketing-automation/klaviyo/</t>
  </si>
  <si>
    <t xml:space="preserve">GATED on real Klaviyo work</t>
  </si>
  <si>
    <t xml:space="preserve">lifecycle email marketing services</t>
  </si>
  <si>
    <t xml:space="preserve">Consolidate welcome, nurture, win-back and cart recovery here</t>
  </si>
  <si>
    <t xml:space="preserve">abandoned cart automation setup</t>
  </si>
  <si>
    <t xml:space="preserve">Do not give this its own page</t>
  </si>
  <si>
    <t xml:space="preserve">crm follow up automation</t>
  </si>
  <si>
    <t xml:space="preserve">Consolidate; cannibalisation risk otherwise</t>
  </si>
  <si>
    <t xml:space="preserve">google ads management for ecommerce</t>
  </si>
  <si>
    <t xml:space="preserve">/services/digital-marketing/google-ads/</t>
  </si>
  <si>
    <t xml:space="preserve">meta ads agency</t>
  </si>
  <si>
    <t xml:space="preserve">/services/digital-marketing/meta-ads/</t>
  </si>
  <si>
    <t xml:space="preserve">mobile app development company</t>
  </si>
  <si>
    <t xml:space="preserve">/services/mobile-app-development/</t>
  </si>
  <si>
    <t xml:space="preserve">Extremely contested; support page only</t>
  </si>
  <si>
    <t xml:space="preserve">react native app development company</t>
  </si>
  <si>
    <t xml:space="preserve">mobile app development cost</t>
  </si>
  <si>
    <t xml:space="preserve">/insights/mobile-app-development-cost/</t>
  </si>
  <si>
    <t xml:space="preserve">figma to webflow or wordpress handoff</t>
  </si>
  <si>
    <t xml:space="preserve">/insights/figma-to-wordpress-handoff/</t>
  </si>
  <si>
    <t xml:space="preserve">Hiver lists Figma design as a live service</t>
  </si>
  <si>
    <t xml:space="preserve">ui ux design agency for saas</t>
  </si>
  <si>
    <t xml:space="preserve">/services/ui-ux-design/</t>
  </si>
  <si>
    <t xml:space="preserve">school management software</t>
  </si>
  <si>
    <t xml:space="preserve">/products/school-management-software/</t>
  </si>
  <si>
    <t xml:space="preserve">Product</t>
  </si>
  <si>
    <t xml:space="preserve">Product-category search; confirm product status first</t>
  </si>
  <si>
    <t xml:space="preserve">school management system for private schools</t>
  </si>
  <si>
    <t xml:space="preserve">dental practice management software</t>
  </si>
  <si>
    <t xml:space="preserve">/products/dental-practice-management-software/</t>
  </si>
  <si>
    <t xml:space="preserve">Regulated category; check compliance claims carefully</t>
  </si>
  <si>
    <t xml:space="preserve">clinic management software</t>
  </si>
  <si>
    <t xml:space="preserve">/products/clinic-management-software/</t>
  </si>
  <si>
    <t xml:space="preserve">hr software for small business</t>
  </si>
  <si>
    <t xml:space="preserve">/products/hr-software/</t>
  </si>
  <si>
    <t xml:space="preserve">employee management system</t>
  </si>
  <si>
    <t xml:space="preserve">/products/employee-management-software/</t>
  </si>
  <si>
    <t xml:space="preserve">Check overlap with HR software before building both</t>
  </si>
  <si>
    <t xml:space="preserve">custom school management software development</t>
  </si>
  <si>
    <t xml:space="preserve">Bridges product and services; strongest single opportunity in this set</t>
  </si>
  <si>
    <t xml:space="preserve">web development for healthcare providers</t>
  </si>
  <si>
    <t xml:space="preserve">/industries/healthcare/</t>
  </si>
  <si>
    <t xml:space="preserve">Industry</t>
  </si>
  <si>
    <t xml:space="preserve">Only build with a real healthcare case study</t>
  </si>
  <si>
    <t xml:space="preserve">education website development</t>
  </si>
  <si>
    <t xml:space="preserve">/industries/education/</t>
  </si>
  <si>
    <t xml:space="preserve">Anchor to the school-management product</t>
  </si>
  <si>
    <t xml:space="preserve">ecommerce website development services</t>
  </si>
  <si>
    <t xml:space="preserve">/industries/ecommerce/</t>
  </si>
  <si>
    <t xml:space="preserve">hiver technology</t>
  </si>
  <si>
    <t xml:space="preserve">Navigational</t>
  </si>
  <si>
    <t xml:space="preserve">Global</t>
  </si>
  <si>
    <t xml:space="preserve">Home</t>
  </si>
  <si>
    <t xml:space="preserve">The only viable brand target; 'Hiver' alone is unwinnable</t>
  </si>
  <si>
    <t xml:space="preserve">hiver technology nepal</t>
  </si>
  <si>
    <t xml:space="preserve">/about/</t>
  </si>
  <si>
    <t xml:space="preserve">About</t>
  </si>
  <si>
    <t xml:space="preserve">hiver technology reviews</t>
  </si>
  <si>
    <t xml:space="preserve">Will be won by Clutch/G2 profiles, not by Hiver's own site</t>
  </si>
  <si>
    <t xml:space="preserve">Summary (formula-driven)</t>
  </si>
  <si>
    <t xml:space="preserve">Total keywords mapped</t>
  </si>
  <si>
    <t xml:space="preserve">Tier A - target now</t>
  </si>
  <si>
    <t xml:space="preserve">Tier B</t>
  </si>
  <si>
    <t xml:space="preserve">Tier C</t>
  </si>
  <si>
    <t xml:space="preserve">Tier D - not an organic bet</t>
  </si>
  <si>
    <t xml:space="preserve">Transactional intent</t>
  </si>
  <si>
    <t xml:space="preserve">US targets</t>
  </si>
  <si>
    <t xml:space="preserve">UK targets</t>
  </si>
  <si>
    <t xml:space="preserve">AU targets</t>
  </si>
  <si>
    <t xml:space="preserve">Keywords banded 'Target now'</t>
  </si>
  <si>
    <t xml:space="preserve">Keywords banded 'Do not chase organically'</t>
  </si>
  <si>
    <t xml:space="preserve">Average priority score</t>
  </si>
  <si>
    <t xml:space="preserve">Highest priority score</t>
  </si>
  <si>
    <t xml:space="preserve">Site architecture and URL map</t>
  </si>
  <si>
    <t xml:space="preserve">Capability column gates publication. GATED and DATA REQUIRED rows must not go live until Hiver confirms the capability.</t>
  </si>
  <si>
    <t xml:space="preserve">URL</t>
  </si>
  <si>
    <t xml:space="preserve">Parent</t>
  </si>
  <si>
    <t xml:space="preserve">Primary keyword</t>
  </si>
  <si>
    <t xml:space="preserve">Capability</t>
  </si>
  <si>
    <t xml:space="preserve">Build status</t>
  </si>
  <si>
    <t xml:space="preserve">-</t>
  </si>
  <si>
    <t xml:space="preserve">Confirmed</t>
  </si>
  <si>
    <t xml:space="preserve">Rebuild</t>
  </si>
  <si>
    <t xml:space="preserve">Rewrite title and H1 around what Hiver actually does and for whom</t>
  </si>
  <si>
    <t xml:space="preserve">/services/</t>
  </si>
  <si>
    <t xml:space="preserve">software development services</t>
  </si>
  <si>
    <t xml:space="preserve">Build</t>
  </si>
  <si>
    <t xml:space="preserve">Real hub with 150+ words of orientation per child, not a link grid</t>
  </si>
  <si>
    <t xml:space="preserve">Flagship page. Target 1,400-1,600 words per the competitor depth benchmark</t>
  </si>
  <si>
    <t xml:space="preserve">Already a live listed service; highest deal value of the confirmed set</t>
  </si>
  <si>
    <t xml:space="preserve">Only if Hiver has shipped a headless build</t>
  </si>
  <si>
    <t xml:space="preserve">Hiver can write this from its own migration experience</t>
  </si>
  <si>
    <t xml:space="preserve">Retainer revenue; needs real plan tiers and pricing</t>
  </si>
  <si>
    <t xml:space="preserve">wordpress core web vitals fix</t>
  </si>
  <si>
    <t xml:space="preserve">Problem-led page; requires before/after evidence</t>
  </si>
  <si>
    <t xml:space="preserve">Needed for completeness; do not expect it to rank on the head term</t>
  </si>
  <si>
    <t xml:space="preserve">Merge the Figma offering into this page</t>
  </si>
  <si>
    <t xml:space="preserve">The one page where Hiver's structure is an advantage. Handle the offshore objection head-on</t>
  </si>
  <si>
    <t xml:space="preserve">Less contested than Shopify and closer to Hiver's WordPress base</t>
  </si>
  <si>
    <t xml:space="preserve">Blocked</t>
  </si>
  <si>
    <t xml:space="preserve">Do not publish until Hiver confirms delivered Shopify stores and Partner status</t>
  </si>
  <si>
    <t xml:space="preserve">/services/shopify-ecommerce/shopify-store-development/</t>
  </si>
  <si>
    <t xml:space="preserve">shopify store development</t>
  </si>
  <si>
    <t xml:space="preserve">Most winnable of the Shopify set because the problem is narrow</t>
  </si>
  <si>
    <t xml:space="preserve">/services/seo/</t>
  </si>
  <si>
    <t xml:space="preserve">seo services</t>
  </si>
  <si>
    <t xml:space="preserve">Hiver must be able to point at its own ranking site before selling SEO</t>
  </si>
  <si>
    <t xml:space="preserve">Doubles as the primary lead magnet</t>
  </si>
  <si>
    <t xml:space="preserve">P3</t>
  </si>
  <si>
    <t xml:space="preserve">/services/digital-marketing/</t>
  </si>
  <si>
    <t xml:space="preserve">digital marketing agency</t>
  </si>
  <si>
    <t xml:space="preserve">CONSOLIDATION: absorbs email marketing, newsletters, welcome sequences, win-back, cart recovery, lead nurture and CRM follow-up. Seven briefed pages become one</t>
  </si>
  <si>
    <t xml:space="preserve">Hub for the highest-yield long-tail pattern in the competitor dataset</t>
  </si>
  <si>
    <t xml:space="preserve">Target ~950 words, 8-9 H2s, following the observed integration template</t>
  </si>
  <si>
    <t xml:space="preserve">/services/migrations/</t>
  </si>
  <si>
    <t xml:space="preserve">website migration services</t>
  </si>
  <si>
    <t xml:space="preserve">Reverse direction is far less served than the forward one</t>
  </si>
  <si>
    <t xml:space="preserve">/products/</t>
  </si>
  <si>
    <t xml:space="preserve">business management software</t>
  </si>
  <si>
    <t xml:space="preserve">Confirm whether these are licensable products or bespoke builds before publishing</t>
  </si>
  <si>
    <t xml:space="preserve">Strongest single opportunity outside the agency positioning</t>
  </si>
  <si>
    <t xml:space="preserve">Regulated category. Do not make clinical or compliance claims without evidence</t>
  </si>
  <si>
    <t xml:space="preserve">Check overlap with employee management before building both</t>
  </si>
  <si>
    <t xml:space="preserve">/industries/</t>
  </si>
  <si>
    <t xml:space="preserve">Only build the hub if at least two children are justified</t>
  </si>
  <si>
    <t xml:space="preserve">Requires a real healthcare project</t>
  </si>
  <si>
    <t xml:space="preserve">Travel / Banking / Logistics / Manufacturing / Government / Hotels / Construction</t>
  </si>
  <si>
    <t xml:space="preserve">DROP</t>
  </si>
  <si>
    <t xml:space="preserve">Do not build</t>
  </si>
  <si>
    <t xml:space="preserve">No demand evidence, no case study, no distinct buyer problem. Building these creates thin pages. Revisit only with a real project</t>
  </si>
  <si>
    <t xml:space="preserve">/works/</t>
  </si>
  <si>
    <t xml:space="preserve">Replaces /portfolio/ with a 301</t>
  </si>
  <si>
    <t xml:space="preserve">/works/{project-slug}/</t>
  </si>
  <si>
    <t xml:space="preserve">HARD BLOCKER. Needs a permissioned client, verified metrics and a testimonial. Beat the competitor's ~400-word depth</t>
  </si>
  <si>
    <t xml:space="preserve">/insights/</t>
  </si>
  <si>
    <t xml:space="preserve">Existing root-level posts must 301 in here</t>
  </si>
  <si>
    <t xml:space="preserve">/insights/{article-slug}/</t>
  </si>
  <si>
    <t xml:space="preserve">see Content Calendar</t>
  </si>
  <si>
    <t xml:space="preserve">Various</t>
  </si>
  <si>
    <t xml:space="preserve">Target ~1,600-1,900 words to match the competitor's median</t>
  </si>
  <si>
    <t xml:space="preserve">Answer the offshore trust question directly and honestly</t>
  </si>
  <si>
    <t xml:space="preserve">/about/how-we-work/</t>
  </si>
  <si>
    <t xml:space="preserve">Process, communication, timezone overlap, escalation, reporting</t>
  </si>
  <si>
    <t xml:space="preserve">/about/security-and-compliance/</t>
  </si>
  <si>
    <t xml:space="preserve">NDA process, IP assignment, GDPR/DPA position, data residency, access control. Required for UK/EU buyers</t>
  </si>
  <si>
    <t xml:space="preserve">/about/pricing/</t>
  </si>
  <si>
    <t xml:space="preserve">Honest bands. Rare among competitors and pre-qualifies leads</t>
  </si>
  <si>
    <t xml:space="preserve">/team/</t>
  </si>
  <si>
    <t xml:space="preserve">Team</t>
  </si>
  <si>
    <t xml:space="preserve">/team/{person-slug}/</t>
  </si>
  <si>
    <t xml:space="preserve">Person</t>
  </si>
  <si>
    <t xml:space="preserve">Only index profiles with real credentials. Competitor profiles average 123 words, which is easy to beat</t>
  </si>
  <si>
    <t xml:space="preserve">/careers/</t>
  </si>
  <si>
    <t xml:space="preserve">Company</t>
  </si>
  <si>
    <t xml:space="preserve">NP</t>
  </si>
  <si>
    <t xml:space="preserve">Keep</t>
  </si>
  <si>
    <t xml:space="preserve">/contact/</t>
  </si>
  <si>
    <t xml:space="preserve">The primary conversion asset. Every commercial page links here</t>
  </si>
  <si>
    <t xml:space="preserve">/project-enquiry/thank-you/</t>
  </si>
  <si>
    <t xml:space="preserve">Noindex. Fires the generate_lead event</t>
  </si>
  <si>
    <t xml:space="preserve">/book-a-call/</t>
  </si>
  <si>
    <t xml:space="preserve">Timezone-aware scheduling is essential given the time difference</t>
  </si>
  <si>
    <t xml:space="preserve">/privacy-policy/  /terms/  /cookie-policy/</t>
  </si>
  <si>
    <t xml:space="preserve">Legal</t>
  </si>
  <si>
    <t xml:space="preserve">Required for UK/EU/AU visitors and for buyer due diligence</t>
  </si>
  <si>
    <t xml:space="preserve">/locations/* country pages</t>
  </si>
  <si>
    <t xml:space="preserve">Geo</t>
  </si>
  <si>
    <t xml:space="preserve">US/AU/UK</t>
  </si>
  <si>
    <t xml:space="preserve">Do not build yet</t>
  </si>
  <si>
    <t xml:space="preserve">No local presence means a lower ceiling than local competitors. Only build if each page carries genuinely market-specific substance</t>
  </si>
  <si>
    <t xml:space="preserve">Page counts (formula-driven)</t>
  </si>
  <si>
    <t xml:space="preserve">P0 pages</t>
  </si>
  <si>
    <t xml:space="preserve">P1 pages</t>
  </si>
  <si>
    <t xml:space="preserve">P2 pages</t>
  </si>
  <si>
    <t xml:space="preserve">P3 pages</t>
  </si>
  <si>
    <t xml:space="preserve">Capability-gated (blocked)</t>
  </si>
  <si>
    <t xml:space="preserve">Rows needing data from Hiver</t>
  </si>
  <si>
    <t xml:space="preserve">Page-level SEO: titles, descriptions, H1s</t>
  </si>
  <si>
    <t xml:space="preserve">Every title is under 60 characters and every description under 155, unlike 122 of the 253 competitor titles. Copy is a first draft for review, not final.</t>
  </si>
  <si>
    <t xml:space="preserve">Meta description</t>
  </si>
  <si>
    <t xml:space="preserve">H1</t>
  </si>
  <si>
    <t xml:space="preserve">Secondary keywords</t>
  </si>
  <si>
    <t xml:space="preserve">Primary CTA</t>
  </si>
  <si>
    <t xml:space="preserve">Hiver Technology | Web, App &amp; CRM Development Team</t>
  </si>
  <si>
    <t xml:space="preserve">Custom web applications, WordPress builds, mobile apps and CRM systems, delivered by a senior team in Nepal for clients in the US, UK and Australia.</t>
  </si>
  <si>
    <t xml:space="preserve">Software, web and CRM builds for growing businesses</t>
  </si>
  <si>
    <t xml:space="preserve">custom software development; web application development; dedicated development team</t>
  </si>
  <si>
    <t xml:space="preserve">Organization, WebSite, BreadcrumbList</t>
  </si>
  <si>
    <t xml:space="preserve">Start a project</t>
  </si>
  <si>
    <t xml:space="preserve">Development &amp; Marketing Services | Hiver Technology</t>
  </si>
  <si>
    <t xml:space="preserve">Web applications, WordPress, CRM systems, mobile apps, integrations and marketing automation. See what each engagement includes and what it costs.</t>
  </si>
  <si>
    <t xml:space="preserve">What we build, and how each engagement runs</t>
  </si>
  <si>
    <t xml:space="preserve">web development services; crm development; integration services</t>
  </si>
  <si>
    <t xml:space="preserve">WebPage, BreadcrumbList, ItemList</t>
  </si>
  <si>
    <t xml:space="preserve">Discuss your project</t>
  </si>
  <si>
    <t xml:space="preserve">Custom Web Application Development | Hiver Technology</t>
  </si>
  <si>
    <t xml:space="preserve">Custom web applications built around your actual workflow, from discovery to launch and support. Fixed-scope stages, senior developers, code you own.</t>
  </si>
  <si>
    <t xml:space="preserve">Custom web applications built around how your business actually works</t>
  </si>
  <si>
    <t xml:space="preserve">web app development services; custom software development; saas development</t>
  </si>
  <si>
    <t xml:space="preserve">WebPage, Service, BreadcrumbList, FAQPage</t>
  </si>
  <si>
    <t xml:space="preserve">Request a technical scope</t>
  </si>
  <si>
    <t xml:space="preserve">Custom CRM Development &amp; Integration | Hiver Technology</t>
  </si>
  <si>
    <t xml:space="preserve">Custom CRM systems and integrations for teams that have outgrown spreadsheets or off-the-shelf tools. Built to fit your pipeline, not the other way round.</t>
  </si>
  <si>
    <t xml:space="preserve">Custom CRM systems for teams that have outgrown off-the-shelf tools</t>
  </si>
  <si>
    <t xml:space="preserve">crm integration services; custom crm software; crm development company</t>
  </si>
  <si>
    <t xml:space="preserve">Request a CRM scope</t>
  </si>
  <si>
    <t xml:space="preserve">WordPress Development Company | Hiver Technology</t>
  </si>
  <si>
    <t xml:space="preserve">WordPress builds without page-builder bloat: custom themes, clean code, fast Core Web Vitals and a CMS your team can actually use.</t>
  </si>
  <si>
    <t xml:space="preserve">WordPress builds without the page-builder bloat</t>
  </si>
  <si>
    <t xml:space="preserve">wordpress development agency; custom wordpress theme; wordpress developers</t>
  </si>
  <si>
    <t xml:space="preserve">Request a build estimate</t>
  </si>
  <si>
    <t xml:space="preserve">Hire a Dedicated Development Team | Hiver Technology</t>
  </si>
  <si>
    <t xml:space="preserve">Senior developers working as an extension of your team, with real timezone overlap, named people and clear contracts. Monthly, not per-ticket.</t>
  </si>
  <si>
    <t xml:space="preserve">A senior development team that works as an extension of yours</t>
  </si>
  <si>
    <t xml:space="preserve">hire dedicated developers; offshore development team; staff augmentation</t>
  </si>
  <si>
    <t xml:space="preserve">Discuss team requirements</t>
  </si>
  <si>
    <t xml:space="preserve">WordPress Maintenance &amp; Support Plans | Hiver Technology</t>
  </si>
  <si>
    <t xml:space="preserve">Ongoing WordPress maintenance: updates, backups, security, uptime and performance monitoring, with a named contact and a monthly report.</t>
  </si>
  <si>
    <t xml:space="preserve">WordPress maintenance with a named contact and a real report</t>
  </si>
  <si>
    <t xml:space="preserve">wordpress support plans; wordpress care plan; wordpress security monitoring</t>
  </si>
  <si>
    <t xml:space="preserve">Compare support plans</t>
  </si>
  <si>
    <t xml:space="preserve">WordPress Core Web Vitals &amp; Speed Fixes | Hiver Technology</t>
  </si>
  <si>
    <t xml:space="preserve">Diagnose and fix what is actually slowing your WordPress site: render-blocking assets, bloated builders, unoptimised images and hosting limits.</t>
  </si>
  <si>
    <t xml:space="preserve">Fix what is actually slowing your WordPress site</t>
  </si>
  <si>
    <t xml:space="preserve">wordpress speed optimisation; improve lcp wordpress; wordpress inp</t>
  </si>
  <si>
    <t xml:space="preserve">Request a performance audit</t>
  </si>
  <si>
    <t xml:space="preserve">Lifecycle Email &amp; Marketing Automation | Hiver Technology</t>
  </si>
  <si>
    <t xml:space="preserve">Welcome, nurture, win-back and cart-recovery flows built on your CRM and email platform, with the reporting to show what each one earns.</t>
  </si>
  <si>
    <t xml:space="preserve">Lifecycle email and automation that reports what it earns</t>
  </si>
  <si>
    <t xml:space="preserve">marketing automation agency; email automation; crm follow up automation; abandoned cart automation</t>
  </si>
  <si>
    <t xml:space="preserve">Request an automation review</t>
  </si>
  <si>
    <t xml:space="preserve">Custom API &amp; System Integration Development | Hiver Technology</t>
  </si>
  <si>
    <t xml:space="preserve">Connect the systems you already run: CRM, ERP, accounting, marketing and storefronts. Custom-mapped, error-checked, monitored data flows.</t>
  </si>
  <si>
    <t xml:space="preserve">Connect the systems you already run</t>
  </si>
  <si>
    <t xml:space="preserve">system integration services; api development; crm erp integration</t>
  </si>
  <si>
    <t xml:space="preserve">WebPage, Service, BreadcrumbList</t>
  </si>
  <si>
    <t xml:space="preserve">Scope an integration</t>
  </si>
  <si>
    <t xml:space="preserve">About Hiver Technology | Our Team &amp; How We Work</t>
  </si>
  <si>
    <t xml:space="preserve">Hiver Technology is a software team based in Lalitpur, Nepal, building web applications, CRM systems and websites for clients in the US, UK and Australia.</t>
  </si>
  <si>
    <t xml:space="preserve">A senior software team in Nepal, working with clients worldwide</t>
  </si>
  <si>
    <t xml:space="preserve">hiver technology nepal; about hiver technology; software company nepal</t>
  </si>
  <si>
    <t xml:space="preserve">AboutPage, Organization, BreadcrumbList</t>
  </si>
  <si>
    <t xml:space="preserve">Meet the team</t>
  </si>
  <si>
    <t xml:space="preserve">How We Price Projects | Hiver Technology</t>
  </si>
  <si>
    <t xml:space="preserve">What our engagements typically cost, how we scope them, what changes the number, and what you get at each band. No hidden day rates.</t>
  </si>
  <si>
    <t xml:space="preserve">How we price, and what changes the number</t>
  </si>
  <si>
    <t xml:space="preserve">web development cost; software development pricing</t>
  </si>
  <si>
    <t xml:space="preserve">WebPage, BreadcrumbList, FAQPage</t>
  </si>
  <si>
    <t xml:space="preserve">Request a quote</t>
  </si>
  <si>
    <t xml:space="preserve">Security, IP &amp; Data Protection | Hiver Technology</t>
  </si>
  <si>
    <t xml:space="preserve">How we handle NDAs, IP assignment, access control, data protection and data residency for international clients.</t>
  </si>
  <si>
    <t xml:space="preserve">How we handle your code, data and contracts</t>
  </si>
  <si>
    <t xml:space="preserve">nda software development; ip assignment; gdpr data processing</t>
  </si>
  <si>
    <t xml:space="preserve">WebPage, BreadcrumbList</t>
  </si>
  <si>
    <t xml:space="preserve">Request our security overview</t>
  </si>
  <si>
    <t xml:space="preserve">Our Work | Hiver Technology</t>
  </si>
  <si>
    <t xml:space="preserve">Selected projects with the problem, the approach and the measured outcome. Every number on these pages is one the client has agreed we can publish.</t>
  </si>
  <si>
    <t xml:space="preserve">Projects, in detail</t>
  </si>
  <si>
    <t xml:space="preserve">web development case study; crm case study</t>
  </si>
  <si>
    <t xml:space="preserve">CollectionPage, BreadcrumbList</t>
  </si>
  <si>
    <t xml:space="preserve">Discuss a similar project</t>
  </si>
  <si>
    <t xml:space="preserve">Start a Project | Hiver Technology</t>
  </si>
  <si>
    <t xml:space="preserve">Tell us what you need, your platform, timeline and budget band. A senior developer reviews every enquiry and replies within one business day.</t>
  </si>
  <si>
    <t xml:space="preserve">Tell us about your project</t>
  </si>
  <si>
    <t xml:space="preserve">Submit enquiry</t>
  </si>
  <si>
    <t xml:space="preserve">Content briefs - P0 and P1 pages</t>
  </si>
  <si>
    <t xml:space="preserve">One block per page. Blockers marked DATA REQUIRED must be cleared before writing.</t>
  </si>
  <si>
    <t xml:space="preserve">BRIEF: /services/dedicated-development-team/</t>
  </si>
  <si>
    <t xml:space="preserve">hire dedicated developers; offshore development team; staff augmentation; extended engineering team</t>
  </si>
  <si>
    <t xml:space="preserve">Search intent</t>
  </si>
  <si>
    <t xml:space="preserve">Transactional. Buyer has decided to add capacity and is comparing suppliers and models.</t>
  </si>
  <si>
    <t xml:space="preserve">Target audience</t>
  </si>
  <si>
    <t xml:space="preserve">CTO, engineering manager or founder at a US/UK/AU company with more roadmap than developers.</t>
  </si>
  <si>
    <t xml:space="preserve">Target country</t>
  </si>
  <si>
    <t xml:space="preserve">US primary, UK and AU secondary</t>
  </si>
  <si>
    <t xml:space="preserve">Business goal</t>
  </si>
  <si>
    <t xml:space="preserve">Qualified enquiry for a monthly team engagement. Highest-margin, most repeatable revenue available to Hiver.</t>
  </si>
  <si>
    <t xml:space="preserve">Word count</t>
  </si>
  <si>
    <t xml:space="preserve">1,400-1,700</t>
  </si>
  <si>
    <t xml:space="preserve">H2 structure</t>
  </si>
  <si>
    <t xml:space="preserve">1. The problem: roadmap outpacing hiring | 2. What a dedicated team actually means (and what it does not) | 3. Who you get: named seniors, not a rotating pool | 4. How overlap works: real hours, not 'flexible' | 5. How we run the engagement: standups, sprints, reporting, escalation | 6. Contracts, IP and NDAs | 7. Security and access control | 8. What it costs and what changes the number | 9. Where this is a bad fit | 10. FAQs | 11. Related services | 12. CTA</t>
  </si>
  <si>
    <t xml:space="preserve">FAQ topics</t>
  </si>
  <si>
    <t xml:space="preserve">What timezone overlap do we actually get? Who owns the code and IP? What happens if a developer leaves? How do you handle NDAs and data protection? What is the minimum engagement? How do you handle quality and code review? What if we need to scale down?</t>
  </si>
  <si>
    <t xml:space="preserve">How this beats the competitor</t>
  </si>
  <si>
    <t xml:space="preserve">Section 9 ('Where this is a bad fit') is the differentiator. Competitors never disqualify themselves, and doing so converts better with technical buyers. Also state the Nepal base plainly rather than obscuring it.</t>
  </si>
  <si>
    <t xml:space="preserve">Internal links in</t>
  </si>
  <si>
    <t xml:space="preserve">/services/, /, /about/how-we-work/, /insights/offshore-vs-onshore-development/, /insights/dedicated-developer-cost/</t>
  </si>
  <si>
    <t xml:space="preserve">Internal links out</t>
  </si>
  <si>
    <t xml:space="preserve">/about/how-we-work/, /about/security-and-compliance/, /about/pricing/, /team/, /works/</t>
  </si>
  <si>
    <t xml:space="preserve">CTA</t>
  </si>
  <si>
    <t xml:space="preserve">Primary: Discuss team requirements. Secondary: See how we work.</t>
  </si>
  <si>
    <t xml:space="preserve">Blockers</t>
  </si>
  <si>
    <t xml:space="preserve">Needs real rate bands, real named seniors with CVs, and Hiver's actual overlap commitment. DATA REQUIRED.</t>
  </si>
  <si>
    <t xml:space="preserve">BRIEF: /services/web-application-development/</t>
  </si>
  <si>
    <t xml:space="preserve">web app development services; custom software development; internal tools development</t>
  </si>
  <si>
    <t xml:space="preserve">Transactional but research-heavy. Buyer is scoping a build and comparing partners.</t>
  </si>
  <si>
    <t xml:space="preserve">Operations or product lead at a mid-sized business with a process that spreadsheets no longer handle.</t>
  </si>
  <si>
    <t xml:space="preserve">US primary</t>
  </si>
  <si>
    <t xml:space="preserve">Scoped technical enquiry. Anchor page for the whole services cluster.</t>
  </si>
  <si>
    <t xml:space="preserve">1,400-1,600</t>
  </si>
  <si>
    <t xml:space="preserve">1. When a custom application is the right call (and when it is not) | 2. The problems we usually get called about | 3. What we build: internal tools, portals, dashboards, workflow systems | 4. Our stack and why | 5. How a build runs, stage by stage | 6. What you get at each stage | 7. Testing and handover | 8. What a build costs | 9. Case study | 10. FAQs | 11. Related services | 12. CTA</t>
  </si>
  <si>
    <t xml:space="preserve">How long does a build take? What does it cost? Do we own the code? What happens after launch? Can you work with our existing systems? Who maintains it? What if requirements change mid-build?</t>
  </si>
  <si>
    <t xml:space="preserve">Lead with the disqualifying question ('when a custom app is the wrong call'). Include a real cost section, which the competitor benchmark shows is unusual on a service page and is what buyers search for.</t>
  </si>
  <si>
    <t xml:space="preserve">/, /services/, /industries/*, /insights/custom-crm-vs-off-the-shelf/</t>
  </si>
  <si>
    <t xml:space="preserve">/services/crm-development/, /services/integrations/, /works/, /about/pricing/</t>
  </si>
  <si>
    <t xml:space="preserve">Primary: Request a technical scope. Secondary: See our work.</t>
  </si>
  <si>
    <t xml:space="preserve">Needs one referenceable web-app project and real cost bands. DATA REQUIRED.</t>
  </si>
  <si>
    <t xml:space="preserve">BRIEF: /services/crm-development/</t>
  </si>
  <si>
    <t xml:space="preserve">Transactional. Buyer is frustrated with an existing CRM or has outgrown spreadsheets.</t>
  </si>
  <si>
    <t xml:space="preserve">Sales or operations director carrying a broken pipeline process.</t>
  </si>
  <si>
    <t xml:space="preserve">US primary, UK secondary</t>
  </si>
  <si>
    <t xml:space="preserve">Highest average deal value among Hiver's confirmed capabilities.</t>
  </si>
  <si>
    <t xml:space="preserve">1,300-1,500</t>
  </si>
  <si>
    <t xml:space="preserve">1. The symptoms: where off-the-shelf CRM breaks down | 2. Build vs configure vs integrate: how to choose | 3. What we build | 4. What we integrate with | 5. Data migration and clean-up | 6. How the project runs | 7. Adoption: the part most CRM projects fail on | 8. What it costs | 9. FAQs | 10. Related services | 11. CTA</t>
  </si>
  <si>
    <t xml:space="preserve">Should we build or buy? Can you migrate our existing CRM data? How do you handle user adoption? What does it integrate with? What does it cost to run? Who owns the data?</t>
  </si>
  <si>
    <t xml:space="preserve">The adoption section. Most CRM projects fail on adoption rather than build, and no competitor page addresses it.</t>
  </si>
  <si>
    <t xml:space="preserve">/services/, /services/web-application-development/, /services/integrations/, /insights/custom-crm-development-cost/</t>
  </si>
  <si>
    <t xml:space="preserve">/services/integrations/crm-erp-integration/, /services/marketing-automation/, /works/</t>
  </si>
  <si>
    <t xml:space="preserve">Primary: Request a CRM scope. Secondary: Book a discovery call.</t>
  </si>
  <si>
    <t xml:space="preserve">Needs a real CRM project reference. DATA REQUIRED.</t>
  </si>
  <si>
    <t xml:space="preserve">BRIEF: /services/integrations/wordpress-hubspot/</t>
  </si>
  <si>
    <t xml:space="preserve">hubspot wordpress forms sync; hubspot crm integration; wordpress crm sync</t>
  </si>
  <si>
    <t xml:space="preserve">Transactional and highly specific. Buyer has both systems and a broken or missing connection.</t>
  </si>
  <si>
    <t xml:space="preserve">Marketing operations lead.</t>
  </si>
  <si>
    <t xml:space="preserve">Prove the integration-page pattern. Cheapest page type to produce with the clearest winnability.</t>
  </si>
  <si>
    <t xml:space="preserve">900-1,100</t>
  </si>
  <si>
    <t xml:space="preserve">1. The manual cost of not integrating | 2. What syncs, and which direction | 3. What a proper integration covers | 4. How we build it | 5. Error handling, retries and monitoring | 6. What it costs | 7. FAQs | 8. Related services | 9. CTA</t>
  </si>
  <si>
    <t xml:space="preserve">Can data sync both ways? What happens to consent and marketing permissions? How often does it sync? What happens when the API fails? Do we need a HubSpot paid tier?</t>
  </si>
  <si>
    <t xml:space="preserve">'What syncs, which way' as a table is the single highest-value element of this page type, taken directly from the observed competitor template. Add the error-handling section, which the competitor pages do not have.</t>
  </si>
  <si>
    <t xml:space="preserve">/services/integrations/, /services/crm-development/, /services/marketing-automation/</t>
  </si>
  <si>
    <t xml:space="preserve">/services/integrations/, /services/crm-development/, /project-enquiry/</t>
  </si>
  <si>
    <t xml:space="preserve">Primary: Scope this integration. Secondary: See other integrations.</t>
  </si>
  <si>
    <t xml:space="preserve">Only publish if Hiver has actually built this integration. DATA REQUIRED.</t>
  </si>
  <si>
    <t xml:space="preserve">BRIEF: /insights/offshore-vs-onshore-development/</t>
  </si>
  <si>
    <t xml:space="preserve">offshore development risks; nearshore vs offshore; hiring an overseas dev team</t>
  </si>
  <si>
    <t xml:space="preserve">Commercial investigation. Buyer is weighing the model, not the vendor.</t>
  </si>
  <si>
    <t xml:space="preserve">Buyer who has been warned off offshore delivery and is looking for an honest assessment.</t>
  </si>
  <si>
    <t xml:space="preserve">AU primary, UK and US secondary</t>
  </si>
  <si>
    <t xml:space="preserve">Meet the central objection with evidence instead of marketing, then route to the dedicated-team page.</t>
  </si>
  <si>
    <t xml:space="preserve">1,700-2,000</t>
  </si>
  <si>
    <t xml:space="preserve">1. Why the objection exists and where it is fair | 2. What actually goes wrong (and the pattern behind it) | 3. The four models compared: in-house, local agency, offshore agency, dedicated offshore team | 4. What to ask any overseas supplier | 5. Contract, IP and data protection checklist | 6. Where offshore is genuinely the wrong answer | 7. How we work, and what we will not claim | 8. FAQs | 9. CTA</t>
  </si>
  <si>
    <t xml:space="preserve">Is offshore development cheaper overall? How do you handle timezone gaps? What about IP and data protection? How do I verify a supplier's team is real? When should I hire locally instead?</t>
  </si>
  <si>
    <t xml:space="preserve">Conceding the fair parts of the objection is what makes this rank and convert. Note that at least one competitor markets explicitly against offshoring while running a distributed team, and let the reader draw the conclusion.</t>
  </si>
  <si>
    <t xml:space="preserve">/services/dedicated-development-team/, /about/how-we-work/, /insights/</t>
  </si>
  <si>
    <t xml:space="preserve">/services/dedicated-development-team/, /about/security-and-compliance/, /team/</t>
  </si>
  <si>
    <t xml:space="preserve">Primary: See how we work. Secondary: Discuss team requirements.</t>
  </si>
  <si>
    <t xml:space="preserve">Article, BreadcrumbList, FAQPage, Person (author)</t>
  </si>
  <si>
    <t xml:space="preserve">Needs a real named author with credentials. Do not publish under 'superadmin'.</t>
  </si>
  <si>
    <t xml:space="preserve">BRIEF: /works/{first-case-study}/</t>
  </si>
  <si>
    <t xml:space="preserve">/works/{first-case-study}/</t>
  </si>
  <si>
    <t xml:space="preserve">Proof asset. Read by buyers already considering Hiver.</t>
  </si>
  <si>
    <t xml:space="preserve">Every commercial visitor.</t>
  </si>
  <si>
    <t xml:space="preserve">Unblock every other commercial page. Nothing on this site converts without one of these.</t>
  </si>
  <si>
    <t xml:space="preserve">900-1,300 (competitor median is 399, so depth is the differentiator)</t>
  </si>
  <si>
    <t xml:space="preserve">H1 as a specific outcome sentence | Metric strip (verified only) | Client, industry, market, services, duration | The problem | Constraints | What we did, numbered | Technical decisions and why | What we measured | The outcome | What we would do differently | Client testimonial | Related services | CTA</t>
  </si>
  <si>
    <t xml:space="preserve">'What we would do differently' signals genuine seniority and appears on no competitor case study. Include real interface screenshots rather than stock imagery.</t>
  </si>
  <si>
    <t xml:space="preserve">/works/, every service page, /industries/*, /</t>
  </si>
  <si>
    <t xml:space="preserve">Relevant service pages, relevant industry page, /project-enquiry/</t>
  </si>
  <si>
    <t xml:space="preserve">Primary: Discuss a similar project.</t>
  </si>
  <si>
    <t xml:space="preserve">Article, BreadcrumbList, Organization</t>
  </si>
  <si>
    <t xml:space="preserve">HARD BLOCKER: needs a named client with written permission, verified metrics, and a real testimonial. Do not fabricate or estimate any figure. DATA REQUIRED FROM HIVER.</t>
  </si>
  <si>
    <t xml:space="preserve">Six-month content calendar</t>
  </si>
  <si>
    <t xml:space="preserve">Sequenced by winnability, not by topic appeal. Two articles a month; halve it rather than publishing filler if capacity is short.</t>
  </si>
  <si>
    <t xml:space="preserve">Month</t>
  </si>
  <si>
    <t xml:space="preserve">Week</t>
  </si>
  <si>
    <t xml:space="preserve">Working title</t>
  </si>
  <si>
    <t xml:space="preserve">Funnel stage</t>
  </si>
  <si>
    <t xml:space="preserve">Cluster</t>
  </si>
  <si>
    <t xml:space="preserve">Dependency</t>
  </si>
  <si>
    <t xml:space="preserve">Month 1</t>
  </si>
  <si>
    <t xml:space="preserve">W1</t>
  </si>
  <si>
    <t xml:space="preserve">Custom CRM development cost: what drives the number</t>
  </si>
  <si>
    <t xml:space="preserve">Mid</t>
  </si>
  <si>
    <t xml:space="preserve">CRM</t>
  </si>
  <si>
    <t xml:space="preserve">1,600-1,900</t>
  </si>
  <si>
    <t xml:space="preserve">Needs Hiver's real pricing bands</t>
  </si>
  <si>
    <t xml:space="preserve">W3</t>
  </si>
  <si>
    <t xml:space="preserve">Offshore vs onshore development: an honest comparison</t>
  </si>
  <si>
    <t xml:space="preserve">Dedicated team</t>
  </si>
  <si>
    <t xml:space="preserve">Named author required</t>
  </si>
  <si>
    <t xml:space="preserve">Month 2</t>
  </si>
  <si>
    <t xml:space="preserve">What a dedicated developer actually costs per month</t>
  </si>
  <si>
    <t xml:space="preserve">Needs real rate bands</t>
  </si>
  <si>
    <t xml:space="preserve">Custom CRM vs off-the-shelf: a decision framework</t>
  </si>
  <si>
    <t xml:space="preserve">Upper-mid</t>
  </si>
  <si>
    <t xml:space="preserve">Month 3</t>
  </si>
  <si>
    <t xml:space="preserve">WordPress website cost: real ranges by scope</t>
  </si>
  <si>
    <t xml:space="preserve">WordPress</t>
  </si>
  <si>
    <t xml:space="preserve">1,500-1,800</t>
  </si>
  <si>
    <t xml:space="preserve">Needs real pricing</t>
  </si>
  <si>
    <t xml:space="preserve">Website migration SEO checklist (written during our own migration)</t>
  </si>
  <si>
    <t xml:space="preserve">Upper</t>
  </si>
  <si>
    <t xml:space="preserve">1,800-2,200</t>
  </si>
  <si>
    <t xml:space="preserve">Write during the .com.np migration; first-party experience is the differentiator</t>
  </si>
  <si>
    <t xml:space="preserve">Month 4</t>
  </si>
  <si>
    <t xml:space="preserve">Elementor to a custom theme: what changes and what it costs</t>
  </si>
  <si>
    <t xml:space="preserve">/insights/elementor-to-custom-theme/</t>
  </si>
  <si>
    <t xml:space="preserve">Draw on Hiver's own rebuild</t>
  </si>
  <si>
    <t xml:space="preserve">Mobile app development cost: by platform and complexity</t>
  </si>
  <si>
    <t xml:space="preserve">Mobile</t>
  </si>
  <si>
    <t xml:space="preserve">Month 5</t>
  </si>
  <si>
    <t xml:space="preserve">WordPress vs Webflow vs a custom build</t>
  </si>
  <si>
    <t xml:space="preserve">wordpress vs webflow vs custom</t>
  </si>
  <si>
    <t xml:space="preserve">Choosing school management software: a buyer's checklist</t>
  </si>
  <si>
    <t xml:space="preserve">school management software checklist</t>
  </si>
  <si>
    <t xml:space="preserve">/insights/school-management-software-checklist/</t>
  </si>
  <si>
    <t xml:space="preserve">Products</t>
  </si>
  <si>
    <t xml:space="preserve">Confirm product status first</t>
  </si>
  <si>
    <t xml:space="preserve">Month 6</t>
  </si>
  <si>
    <t xml:space="preserve">Fixing Core Web Vitals on a page-builder site</t>
  </si>
  <si>
    <t xml:space="preserve">/insights/wordpress-core-web-vitals/</t>
  </si>
  <si>
    <t xml:space="preserve">Use before/after from Hiver's own site</t>
  </si>
  <si>
    <t xml:space="preserve">What to ask any development agency before you sign</t>
  </si>
  <si>
    <t xml:space="preserve">questions to ask a development agency</t>
  </si>
  <si>
    <t xml:space="preserve">/insights/questions-to-ask-a-development-agency/</t>
  </si>
  <si>
    <t xml:space="preserve">Competitor proves this format works</t>
  </si>
  <si>
    <t xml:space="preserve">Internal linking plan</t>
  </si>
  <si>
    <t xml:space="preserve">The competitor sends a median of 248 internal links per page and 1,129 to its enquiry form. Hiver currently has almost none, because nav links point to '#'.</t>
  </si>
  <si>
    <t xml:space="preserve">Target</t>
  </si>
  <si>
    <t xml:space="preserve">Suggested anchor</t>
  </si>
  <si>
    <t xml:space="preserve">Relationship</t>
  </si>
  <si>
    <t xml:space="preserve">Placement</t>
  </si>
  <si>
    <t xml:space="preserve">/ (home)</t>
  </si>
  <si>
    <t xml:space="preserve">Home to service</t>
  </si>
  <si>
    <t xml:space="preserve">Services section</t>
  </si>
  <si>
    <t xml:space="preserve">Vary anchors across the site; do not repeat exact-match everywhere</t>
  </si>
  <si>
    <t xml:space="preserve">work with a dedicated team</t>
  </si>
  <si>
    <t xml:space="preserve">each service child</t>
  </si>
  <si>
    <t xml:space="preserve">descriptive service name plus outcome</t>
  </si>
  <si>
    <t xml:space="preserve">Hub to child</t>
  </si>
  <si>
    <t xml:space="preserve">Hub cards with 40-60 words each</t>
  </si>
  <si>
    <t xml:space="preserve">Never a bare link grid</t>
  </si>
  <si>
    <t xml:space="preserve">Every service page</t>
  </si>
  <si>
    <t xml:space="preserve">intent-matched CTA text</t>
  </si>
  <si>
    <t xml:space="preserve">Service to conversion</t>
  </si>
  <si>
    <t xml:space="preserve">Hero, mid-page, pre-FAQ, footer</t>
  </si>
  <si>
    <t xml:space="preserve">Competitor sends 1,129 internal links to its enquiry page. Match the behaviour, not the query-string sprawl</t>
  </si>
  <si>
    <t xml:space="preserve">relevant /works/ case study</t>
  </si>
  <si>
    <t xml:space="preserve">the project name plus the outcome</t>
  </si>
  <si>
    <t xml:space="preserve">Service to proof</t>
  </si>
  <si>
    <t xml:space="preserve">Proof section</t>
  </si>
  <si>
    <t xml:space="preserve">Blocked until a case study exists</t>
  </si>
  <si>
    <t xml:space="preserve">2-4 sibling services</t>
  </si>
  <si>
    <t xml:space="preserve">sibling service name</t>
  </si>
  <si>
    <t xml:space="preserve">Service to service</t>
  </si>
  <si>
    <t xml:space="preserve">Related services block</t>
  </si>
  <si>
    <t xml:space="preserve">Caps sideways link volume; avoids diluting the hub</t>
  </si>
  <si>
    <t xml:space="preserve">each integration child</t>
  </si>
  <si>
    <t xml:space="preserve">System A + System B integration</t>
  </si>
  <si>
    <t xml:space="preserve">Integration index</t>
  </si>
  <si>
    <t xml:space="preserve">Each integration page</t>
  </si>
  <si>
    <t xml:space="preserve">/services/crm-development/ or parent service</t>
  </si>
  <si>
    <t xml:space="preserve">the underlying service</t>
  </si>
  <si>
    <t xml:space="preserve">Child to parent</t>
  </si>
  <si>
    <t xml:space="preserve">Related services</t>
  </si>
  <si>
    <t xml:space="preserve">Each insight article</t>
  </si>
  <si>
    <t xml:space="preserve">one commercial page</t>
  </si>
  <si>
    <t xml:space="preserve">contextual phrase in body copy</t>
  </si>
  <si>
    <t xml:space="preserve">Insight to service</t>
  </si>
  <si>
    <t xml:space="preserve">Within the relevant section, not only at the end</t>
  </si>
  <si>
    <t xml:space="preserve">Editorial in-body links carry more weight than footer links</t>
  </si>
  <si>
    <t xml:space="preserve">2-3 related insights</t>
  </si>
  <si>
    <t xml:space="preserve">article title</t>
  </si>
  <si>
    <t xml:space="preserve">Insight to insight</t>
  </si>
  <si>
    <t xml:space="preserve">Related reading</t>
  </si>
  <si>
    <t xml:space="preserve">Builds the cluster</t>
  </si>
  <si>
    <t xml:space="preserve">/works/{case study}</t>
  </si>
  <si>
    <t xml:space="preserve">services used, industry page</t>
  </si>
  <si>
    <t xml:space="preserve">service name</t>
  </si>
  <si>
    <t xml:space="preserve">Proof to service</t>
  </si>
  <si>
    <t xml:space="preserve">/industries/{industry}</t>
  </si>
  <si>
    <t xml:space="preserve">relevant services and case study</t>
  </si>
  <si>
    <t xml:space="preserve">service name in industry context</t>
  </si>
  <si>
    <t xml:space="preserve">Industry to service</t>
  </si>
  <si>
    <t xml:space="preserve">Solutions section</t>
  </si>
  <si>
    <t xml:space="preserve">/team/, /about/how-we-work/, /about/security-and-compliance/</t>
  </si>
  <si>
    <t xml:space="preserve">descriptive</t>
  </si>
  <si>
    <t xml:space="preserve">Trust cluster</t>
  </si>
  <si>
    <t xml:space="preserve">Body</t>
  </si>
  <si>
    <t xml:space="preserve">/insights/ hub</t>
  </si>
  <si>
    <t xml:space="preserve">cluster pillars</t>
  </si>
  <si>
    <t xml:space="preserve">cluster topic</t>
  </si>
  <si>
    <t xml:space="preserve">Hub to pillar</t>
  </si>
  <si>
    <t xml:space="preserve">Category intros</t>
  </si>
  <si>
    <t xml:space="preserve">Give any archive real introductory copy or noindex it. The competitor has 16 thin category pages; do not copy that</t>
  </si>
  <si>
    <t xml:space="preserve">Breadcrumbs</t>
  </si>
  <si>
    <t xml:space="preserve">every ancestor</t>
  </si>
  <si>
    <t xml:space="preserve">page title</t>
  </si>
  <si>
    <t xml:space="preserve">Above H1 on every page</t>
  </si>
  <si>
    <t xml:space="preserve">Implement with BreadcrumbList schema</t>
  </si>
  <si>
    <t xml:space="preserve">Technical SEO specification (WordPress + Elementor)</t>
  </si>
  <si>
    <t xml:space="preserve">Developer-ready. T01-T05 are blockers: nothing else is worth doing first.</t>
  </si>
  <si>
    <t xml:space="preserve">Requirement</t>
  </si>
  <si>
    <t xml:space="preserve">Why it matters here</t>
  </si>
  <si>
    <t xml:space="preserve">Implementation</t>
  </si>
  <si>
    <t xml:space="preserve">Status</t>
  </si>
  <si>
    <t xml:space="preserve">T01</t>
  </si>
  <si>
    <t xml:space="preserve">Blocking</t>
  </si>
  <si>
    <t xml:space="preserve">Remove the 'Under Construction' banner</t>
  </si>
  <si>
    <t xml:space="preserve">Disqualifies every prospect on arrival</t>
  </si>
  <si>
    <t xml:space="preserve">Delete the notice bar in Elementor</t>
  </si>
  <si>
    <t xml:space="preserve">Not started</t>
  </si>
  <si>
    <t xml:space="preserve">T02</t>
  </si>
  <si>
    <t xml:space="preserve">Delete all six demo testimonials and the placeholder client logos</t>
  </si>
  <si>
    <t xml:space="preserve">Fabricated endorsements carry FTC/ACCC/CMA exposure</t>
  </si>
  <si>
    <t xml:space="preserve">Remove the sections entirely; do not rewrite the names</t>
  </si>
  <si>
    <t xml:space="preserve">T03</t>
  </si>
  <si>
    <t xml:space="preserve">Replace every '#' link with a real URL</t>
  </si>
  <si>
    <t xml:space="preserve">No crawlable internal graph exists today</t>
  </si>
  <si>
    <t xml:space="preserve">Build the URL structure from the URL Map tab, then wire nav and footer</t>
  </si>
  <si>
    <t xml:space="preserve">T04</t>
  </si>
  <si>
    <t xml:space="preserve">Domain</t>
  </si>
  <si>
    <t xml:space="preserve">Resolve the .com.np vs gTLD decision and, if migrating, execute a full 1:1 redirect map</t>
  </si>
  <si>
    <t xml:space="preserve">ccTLD carries a Nepal geographic signal that cannot be overridden in Search Console</t>
  </si>
  <si>
    <t xml:space="preserve">Register the gTLD, 301 everything, Change of Address in GSC, resubmit sitemaps, update all profiles and citations</t>
  </si>
  <si>
    <t xml:space="preserve">T05</t>
  </si>
  <si>
    <t xml:space="preserve">URLs</t>
  </si>
  <si>
    <t xml:space="preserve">Move root-level blog posts under /insights/ with 301s</t>
  </si>
  <si>
    <t xml:space="preserve">Two competing structures currently coexist</t>
  </si>
  <si>
    <t xml:space="preserve">Server-level 301s, no chains, update all internal links</t>
  </si>
  <si>
    <t xml:space="preserve">T06</t>
  </si>
  <si>
    <t xml:space="preserve">Lowercase, hyphenated, no dates, trailing slash consistent, max depth 3</t>
  </si>
  <si>
    <t xml:space="preserve">Consistency and crawl efficiency</t>
  </si>
  <si>
    <t xml:space="preserve">WordPress permalink settings plus a documented convention</t>
  </si>
  <si>
    <t xml:space="preserve">T07</t>
  </si>
  <si>
    <t xml:space="preserve">Indexation</t>
  </si>
  <si>
    <t xml:space="preserve">robots.txt, segmented XML sitemaps, self-referencing canonicals</t>
  </si>
  <si>
    <t xml:space="preserve">Baseline crawl control</t>
  </si>
  <si>
    <t xml:space="preserve">Sitemaps split by page type; submit each separately for cleaner coverage reporting</t>
  </si>
  <si>
    <t xml:space="preserve">T08</t>
  </si>
  <si>
    <t xml:space="preserve">Noindex thin archives (tag, author, date, paginated), the thank-you page and any staging environment</t>
  </si>
  <si>
    <t xml:space="preserve">The competitor's 16 thin category pages are a mistake to copy</t>
  </si>
  <si>
    <t xml:space="preserve">Yoast or Rank Math rules plus password protection on staging</t>
  </si>
  <si>
    <t xml:space="preserve">T09</t>
  </si>
  <si>
    <t xml:space="preserve">Performance</t>
  </si>
  <si>
    <t xml:space="preserve">Establish a Core Web Vitals baseline: LCP, INP and CLS from field data</t>
  </si>
  <si>
    <t xml:space="preserve">FID was retired; INP is the responsiveness metric now</t>
  </si>
  <si>
    <t xml:space="preserve">PageSpeed Insights field data plus GSC Core Web Vitals report</t>
  </si>
  <si>
    <t xml:space="preserve">T10</t>
  </si>
  <si>
    <t xml:space="preserve">Evaluate whether Elementor should remain the build layer</t>
  </si>
  <si>
    <t xml:space="preserve">Page builders add DOM and script weight that caps LCP and INP; the site is on Elementor 4.1.4</t>
  </si>
  <si>
    <t xml:space="preserve">Compare Elementor-optimised vs a lightweight block theme; document the trade-off rather than assuming</t>
  </si>
  <si>
    <t xml:space="preserve">T11</t>
  </si>
  <si>
    <t xml:space="preserve">CDN with edge presence in the US, UK and Australia</t>
  </si>
  <si>
    <t xml:space="preserve">Origin latency from Nepal to target markets is a genuine cost</t>
  </si>
  <si>
    <t xml:space="preserve">Cloudflare or equivalent; verify TTFB from each target market, not from Kathmandu</t>
  </si>
  <si>
    <t xml:space="preserve">T12</t>
  </si>
  <si>
    <t xml:space="preserve">Page caching, object caching, GZIP/Brotli, HTTP/2 or 3</t>
  </si>
  <si>
    <t xml:space="preserve">Baseline WordPress performance</t>
  </si>
  <si>
    <t xml:space="preserve">Host-level or plugin caching; confirm cache-hit ratio</t>
  </si>
  <si>
    <t xml:space="preserve">T13</t>
  </si>
  <si>
    <t xml:space="preserve">Convert images to WebP/AVIF, correct srcset, lazy-load below the fold, exclude the LCP element</t>
  </si>
  <si>
    <t xml:space="preserve">Lazy-loading the hero is a common LCP regression</t>
  </si>
  <si>
    <t xml:space="preserve">Image optimisation plugin plus manual hero exclusion</t>
  </si>
  <si>
    <t xml:space="preserve">T14</t>
  </si>
  <si>
    <t xml:space="preserve">Subset fonts, self-host, font-display swap, preload the primary face</t>
  </si>
  <si>
    <t xml:space="preserve">Third-party font requests delay first paint</t>
  </si>
  <si>
    <t xml:space="preserve">Local hosting; drop unused weights</t>
  </si>
  <si>
    <t xml:space="preserve">T15</t>
  </si>
  <si>
    <t xml:space="preserve">Defer non-critical JS, inline critical CSS, remove unused plugin assets</t>
  </si>
  <si>
    <t xml:space="preserve">Plugin scripts loading site-wide are the usual INP culprit</t>
  </si>
  <si>
    <t xml:space="preserve">Asset-level conditional loading</t>
  </si>
  <si>
    <t xml:space="preserve">T16</t>
  </si>
  <si>
    <t xml:space="preserve">Accessibility</t>
  </si>
  <si>
    <t xml:space="preserve">WCAG 2.2 AA: contrast, focus states, keyboard navigation, form labels, real alt text</t>
  </si>
  <si>
    <t xml:space="preserve">Required for UK/AU public-sector and enterprise procurement, and the competitor fails alt text on all 253 pages</t>
  </si>
  <si>
    <t xml:space="preserve">Automated scan plus manual keyboard pass</t>
  </si>
  <si>
    <t xml:space="preserve">T17</t>
  </si>
  <si>
    <t xml:space="preserve">Unique title under 60 characters and meta description under 155 for every indexable page</t>
  </si>
  <si>
    <t xml:space="preserve">122 of the competitor's 253 titles are truncated; a cheap CTR edge</t>
  </si>
  <si>
    <t xml:space="preserve">See the Page SEO tab</t>
  </si>
  <si>
    <t xml:space="preserve">T18</t>
  </si>
  <si>
    <t xml:space="preserve">Exactly one H1 per page and a logical H2/H3 hierarchy</t>
  </si>
  <si>
    <t xml:space="preserve">Semantics and scannability</t>
  </si>
  <si>
    <t xml:space="preserve">Template-level enforcement</t>
  </si>
  <si>
    <t xml:space="preserve">T19</t>
  </si>
  <si>
    <t xml:space="preserve">Real, descriptive alt text on every meaningful image; empty alt on decorative ones</t>
  </si>
  <si>
    <t xml:space="preserve">Current alt text is theme placeholder copy</t>
  </si>
  <si>
    <t xml:space="preserve">Content pass plus an editorial rule</t>
  </si>
  <si>
    <t xml:space="preserve">T20</t>
  </si>
  <si>
    <t xml:space="preserve">Organization with sameAs, WebSite, BreadcrumbList, Service, Article, Person, SoftwareApplication</t>
  </si>
  <si>
    <t xml:space="preserve">No structured data was detected on any of the competitor's 253 URLs; this is a free differentiator, and entity disambiguation matters given the brand collision</t>
  </si>
  <si>
    <t xml:space="preserve">JSON-LD in the head; validate in Rich Results Test and Schema.org validator</t>
  </si>
  <si>
    <t xml:space="preserve">T21</t>
  </si>
  <si>
    <t xml:space="preserve">Security</t>
  </si>
  <si>
    <t xml:space="preserve">HTTPS everywhere, HSTS, one canonical host, WordPress and plugin update policy, WAF, backups, form spam protection</t>
  </si>
  <si>
    <t xml:space="preserve">Buyer due diligence and basic hygiene</t>
  </si>
  <si>
    <t xml:space="preserve">Host and plugin configuration; document the policy on the security page</t>
  </si>
  <si>
    <t xml:space="preserve">T22</t>
  </si>
  <si>
    <t xml:space="preserve">Errors</t>
  </si>
  <si>
    <t xml:space="preserve">Designed 404 with navigation and search; no soft 404s; no redirect chains</t>
  </si>
  <si>
    <t xml:space="preserve">Crawl waste and dead ends</t>
  </si>
  <si>
    <t xml:space="preserve">Template plus a crawl audit</t>
  </si>
  <si>
    <t xml:space="preserve">T23</t>
  </si>
  <si>
    <t xml:space="preserve">Social</t>
  </si>
  <si>
    <t xml:space="preserve">Open Graph and Twitter card tags on every page with a real per-page image</t>
  </si>
  <si>
    <t xml:space="preserve">Currently only a favicon is used as the OG image</t>
  </si>
  <si>
    <t xml:space="preserve">Template-level, with per-page overrides</t>
  </si>
  <si>
    <t xml:space="preserve">T24</t>
  </si>
  <si>
    <t xml:space="preserve">International</t>
  </si>
  <si>
    <t xml:space="preserve">No hreflang unless genuinely localised versions exist</t>
  </si>
  <si>
    <t xml:space="preserve">Unnecessary hreflang on a single-language site adds risk without benefit</t>
  </si>
  <si>
    <t xml:space="preserve">Document the decision; revisit only if country pages ship</t>
  </si>
  <si>
    <t xml:space="preserve">T25</t>
  </si>
  <si>
    <t xml:space="preserve">GA4, GTM, Search Console (all property variants), Bing Webmaster, session recording</t>
  </si>
  <si>
    <t xml:space="preserve">There is no baseline today</t>
  </si>
  <si>
    <t xml:space="preserve">See the Analytics tab</t>
  </si>
  <si>
    <t xml:space="preserve">T26</t>
  </si>
  <si>
    <t xml:space="preserve">Consent management appropriate to UK/EU/AU visitors</t>
  </si>
  <si>
    <t xml:space="preserve">Legal requirement and it changes what analytics can measure</t>
  </si>
  <si>
    <t xml:space="preserve">CMP with consent mode; document the measurement impact</t>
  </si>
  <si>
    <t xml:space="preserve">T27</t>
  </si>
  <si>
    <t xml:space="preserve">Content ops</t>
  </si>
  <si>
    <t xml:space="preserve">Replace the 'superadmin' author with real author entities and bylines</t>
  </si>
  <si>
    <t xml:space="preserve">Author-level E-E-A-T; also a visible credibility signal</t>
  </si>
  <si>
    <t xml:space="preserve">WordPress user profiles plus Person schema</t>
  </si>
  <si>
    <t xml:space="preserve">T28</t>
  </si>
  <si>
    <t xml:space="preserve">QA</t>
  </si>
  <si>
    <t xml:space="preserve">Full copy proof-read: 'Developemnt', 'Transfering', "help's" and 'Insitagram' are live today</t>
  </si>
  <si>
    <t xml:space="preserve">Typos on a homepage targeting premium markets read as low capability</t>
  </si>
  <si>
    <t xml:space="preserve">Editorial pass before launch</t>
  </si>
  <si>
    <t xml:space="preserve">Structured data plan</t>
  </si>
  <si>
    <t xml:space="preserve">The competitor audit detected no structured data on any of its 253 URLs. This is a free differentiator - and entity markup matters more than usual given the brand collision.</t>
  </si>
  <si>
    <t xml:space="preserve">Schema type</t>
  </si>
  <si>
    <t xml:space="preserve">Where</t>
  </si>
  <si>
    <t xml:space="preserve">Key properties</t>
  </si>
  <si>
    <t xml:space="preserve">Why</t>
  </si>
  <si>
    <t xml:space="preserve">Caution</t>
  </si>
  <si>
    <t xml:space="preserve">Organization</t>
  </si>
  <si>
    <t xml:space="preserve">Site-wide, in the head</t>
  </si>
  <si>
    <t xml:space="preserve">name 'Hiver Technology', url, logo, address (Lalitpur, Nepal), telephone, sameAs (LinkedIn, Clutch, G2, Crunchbase, GitHub)</t>
  </si>
  <si>
    <t xml:space="preserve">The primary entity-disambiguation signal. Given the hiverhq.com brand collision this matters more than usual</t>
  </si>
  <si>
    <t xml:space="preserve">Use only profiles that actually exist and are verified</t>
  </si>
  <si>
    <t xml:space="preserve">WebSite</t>
  </si>
  <si>
    <t xml:space="preserve">name, url, publisher, potentialAction (SearchAction) if on-site search exists</t>
  </si>
  <si>
    <t xml:space="preserve">Site-level identity</t>
  </si>
  <si>
    <t xml:space="preserve">Omit SearchAction if there is no search</t>
  </si>
  <si>
    <t xml:space="preserve">BreadcrumbList</t>
  </si>
  <si>
    <t xml:space="preserve">Every page below the root</t>
  </si>
  <si>
    <t xml:space="preserve">itemListElement matching the visible breadcrumb</t>
  </si>
  <si>
    <t xml:space="preserve">Improves SERP presentation and reinforces hierarchy</t>
  </si>
  <si>
    <t xml:space="preserve">Must mirror the visible breadcrumb exactly</t>
  </si>
  <si>
    <t xml:space="preserve">Each service and sub-service page</t>
  </si>
  <si>
    <t xml:space="preserve">name, description, provider, areaServed, serviceType</t>
  </si>
  <si>
    <t xml:space="preserve">Clarifies commercial page purpose</t>
  </si>
  <si>
    <t xml:space="preserve">areaServed should reflect markets Hiver genuinely serves; do not imply local offices</t>
  </si>
  <si>
    <t xml:space="preserve">Article</t>
  </si>
  <si>
    <t xml:space="preserve">Insight articles and case studies</t>
  </si>
  <si>
    <t xml:space="preserve">headline, author (Person), datePublished, dateModified, publisher, image</t>
  </si>
  <si>
    <t xml:space="preserve">Author and freshness signals</t>
  </si>
  <si>
    <t xml:space="preserve">Requires a real named author. Not valid under 'superadmin'</t>
  </si>
  <si>
    <t xml:space="preserve">Team profiles and article authors</t>
  </si>
  <si>
    <t xml:space="preserve">name, jobTitle, worksFor, sameAs (LinkedIn), knowsAbout</t>
  </si>
  <si>
    <t xml:space="preserve">Author-level E-E-A-T and entity linking</t>
  </si>
  <si>
    <t xml:space="preserve">Only for real people with real profiles</t>
  </si>
  <si>
    <t xml:space="preserve">SoftwareApplication</t>
  </si>
  <si>
    <t xml:space="preserve">Each product page</t>
  </si>
  <si>
    <t xml:space="preserve">name, applicationCategory, operatingSystem, offers</t>
  </si>
  <si>
    <t xml:space="preserve">The correct type for the school/clinic/dental/HR products</t>
  </si>
  <si>
    <t xml:space="preserve">Only if the products genuinely exist as software offerings</t>
  </si>
  <si>
    <t xml:space="preserve">FAQPage</t>
  </si>
  <si>
    <t xml:space="preserve">Service pages with genuine on-page FAQs</t>
  </si>
  <si>
    <t xml:space="preserve">mainEntity question/answer pairs matching visible content</t>
  </si>
  <si>
    <t xml:space="preserve">Supports the FAQ block</t>
  </si>
  <si>
    <t xml:space="preserve">Only where the FAQs are visible on the page and answer real questions. Never invent FAQs for markup</t>
  </si>
  <si>
    <t xml:space="preserve">LocalBusiness</t>
  </si>
  <si>
    <t xml:space="preserve">Contact page only</t>
  </si>
  <si>
    <t xml:space="preserve">Real Nepal address, hours, geo</t>
  </si>
  <si>
    <t xml:space="preserve">Accurate for the actual location</t>
  </si>
  <si>
    <t xml:space="preserve">Do not create LocalBusiness entries for the US, UK or AU. Hiver has no offices there</t>
  </si>
  <si>
    <t xml:space="preserve">Review / AggregateRating</t>
  </si>
  <si>
    <t xml:space="preserve">Not to be used at launch</t>
  </si>
  <si>
    <t xml:space="preserve">FORBIDDEN until real, verifiable, compliantly collected first-party reviews exist. Must never be applied to the current placeholder testimonials</t>
  </si>
  <si>
    <t xml:space="preserve">Trust and E-E-A-T plan</t>
  </si>
  <si>
    <t xml:space="preserve">Designed against one specific objection: a US, UK or Australian buyer evaluating a Nepal-based supplier.</t>
  </si>
  <si>
    <t xml:space="preserve">Why it matters</t>
  </si>
  <si>
    <t xml:space="preserve">Current state</t>
  </si>
  <si>
    <t xml:space="preserve">Delete placeholder testimonials</t>
  </si>
  <si>
    <t xml:space="preserve">Fabricated endorsements are both a credibility and a regulatory problem in all three target markets</t>
  </si>
  <si>
    <t xml:space="preserve">Six demo testimonials live</t>
  </si>
  <si>
    <t xml:space="preserve">Remove now; replace only with permissioned real ones</t>
  </si>
  <si>
    <t xml:space="preserve">Real client logos with permission</t>
  </si>
  <si>
    <t xml:space="preserve">The current strip includes Hiver's own logo and placeholder alt text</t>
  </si>
  <si>
    <t xml:space="preserve">Placeholder</t>
  </si>
  <si>
    <t xml:space="preserve">Obtain written permission per client</t>
  </si>
  <si>
    <t xml:space="preserve">Named team with real credentials</t>
  </si>
  <si>
    <t xml:space="preserve">A remote-delivery buyer needs to see who will actually do the work; the competitor puts its named team on the homepage</t>
  </si>
  <si>
    <t xml:space="preserve">Photos, roles, years of experience, specialisms, verified LinkedIn links</t>
  </si>
  <si>
    <t xml:space="preserve">One deeply documented case study</t>
  </si>
  <si>
    <t xml:space="preserve">Nothing else on the site converts without it</t>
  </si>
  <si>
    <t xml:space="preserve">Choose the strongest completed project and get publication permission</t>
  </si>
  <si>
    <t xml:space="preserve">Verified metrics only</t>
  </si>
  <si>
    <t xml:space="preserve">A single invented number destroys the whole document's credibility</t>
  </si>
  <si>
    <t xml:space="preserve">Publish only figures the client has confirmed in writing</t>
  </si>
  <si>
    <t xml:space="preserve">Honest location statement</t>
  </si>
  <si>
    <t xml:space="preserve">Obscuring the Nepal base is the fastest way to lose a buyer who finds out later</t>
  </si>
  <si>
    <t xml:space="preserve">Address in footer only</t>
  </si>
  <si>
    <t xml:space="preserve">State it plainly on About with the international-delivery model explained</t>
  </si>
  <si>
    <t xml:space="preserve">Transparent pricing bands</t>
  </si>
  <si>
    <t xml:space="preserve">Rare among competitors, pre-qualifies leads, and reduces wasted calls</t>
  </si>
  <si>
    <t xml:space="preserve">Publish honest bands per engagement type</t>
  </si>
  <si>
    <t xml:space="preserve">NDA and IP assignment clarity</t>
  </si>
  <si>
    <t xml:space="preserve">The first question a technical buyer asks an overseas supplier</t>
  </si>
  <si>
    <t xml:space="preserve">Document the process and the standard contract position</t>
  </si>
  <si>
    <t xml:space="preserve">Data protection position (GDPR/DPA)</t>
  </si>
  <si>
    <t xml:space="preserve">Required by UK and EU buyers; often a procurement gate</t>
  </si>
  <si>
    <t xml:space="preserve">Publish the DPA position and any data-residency options</t>
  </si>
  <si>
    <t xml:space="preserve">Security practices</t>
  </si>
  <si>
    <t xml:space="preserve">Access control, device policy, code review, secrets handling</t>
  </si>
  <si>
    <t xml:space="preserve">Publish a short, factual security overview</t>
  </si>
  <si>
    <t xml:space="preserve">Dev lead</t>
  </si>
  <si>
    <t xml:space="preserve">Timezone overlap commitment</t>
  </si>
  <si>
    <t xml:space="preserve">The main practical objection to remote delivery</t>
  </si>
  <si>
    <t xml:space="preserve">State the actual guaranteed overlap hours per market</t>
  </si>
  <si>
    <t xml:space="preserve">Contract and payment mechanics</t>
  </si>
  <si>
    <t xml:space="preserve">International buyers need to know they can transact</t>
  </si>
  <si>
    <t xml:space="preserve">Name the entity, contract template, accepted payment methods and invoicing currency</t>
  </si>
  <si>
    <t xml:space="preserve">Real author profiles</t>
  </si>
  <si>
    <t xml:space="preserve">Replaces 'superadmin'; needed for Article and Person schema</t>
  </si>
  <si>
    <t xml:space="preserve">Create profiles with credentials for every publishing author</t>
  </si>
  <si>
    <t xml:space="preserve">Clutch profile</t>
  </si>
  <si>
    <t xml:space="preserve">Frequently ranks above agency sites for commercial agency queries</t>
  </si>
  <si>
    <t xml:space="preserve">Complete the profile fully and collect verified reviews</t>
  </si>
  <si>
    <t xml:space="preserve">G2 profile</t>
  </si>
  <si>
    <t xml:space="preserve">Relevant to the software products as well as services</t>
  </si>
  <si>
    <t xml:space="preserve">Create and complete</t>
  </si>
  <si>
    <t xml:space="preserve">DesignRush / GoodFirms profiles</t>
  </si>
  <si>
    <t xml:space="preserve">Category-page visibility in the same SERPs</t>
  </si>
  <si>
    <t xml:space="preserve">Complete both</t>
  </si>
  <si>
    <t xml:space="preserve">Upwork or similar marketplace presence</t>
  </si>
  <si>
    <t xml:space="preserve">Marketplace SERPs and a genuine parallel lead channel</t>
  </si>
  <si>
    <t xml:space="preserve">Build a profile with verified work history</t>
  </si>
  <si>
    <t xml:space="preserve">Shopify Partner directory</t>
  </si>
  <si>
    <t xml:space="preserve">Only if Shopify capability is confirmed</t>
  </si>
  <si>
    <t xml:space="preserve">Apply once real store work exists</t>
  </si>
  <si>
    <t xml:space="preserve">Verified LinkedIn company page plus founder profiles</t>
  </si>
  <si>
    <t xml:space="preserve">Entity disambiguation and social proof</t>
  </si>
  <si>
    <t xml:space="preserve">Complete, link with sameAs</t>
  </si>
  <si>
    <t xml:space="preserve">Legal pages: privacy, terms, cookies</t>
  </si>
  <si>
    <t xml:space="preserve">Required and checked by buyers</t>
  </si>
  <si>
    <t xml:space="preserve">Footer links dead</t>
  </si>
  <si>
    <t xml:space="preserve">Publish real policies</t>
  </si>
  <si>
    <t xml:space="preserve">Conversion and lead generation</t>
  </si>
  <si>
    <t xml:space="preserve">Largely modelled on the competitor's three-step conditional enquiry form, which is the strongest single conversion asset in the audited dataset.</t>
  </si>
  <si>
    <t xml:space="preserve">Element</t>
  </si>
  <si>
    <t xml:space="preserve">Rationale</t>
  </si>
  <si>
    <t xml:space="preserve">Primary conversion</t>
  </si>
  <si>
    <t xml:space="preserve">A scoped project enquiry at /project-enquiry/</t>
  </si>
  <si>
    <t xml:space="preserve">The competitor sends more internal links here than to any other page, including the homepage</t>
  </si>
  <si>
    <t xml:space="preserve">Secondary conversions</t>
  </si>
  <si>
    <t xml:space="preserve">Book a discovery call; request a technical scope; request an audit</t>
  </si>
  <si>
    <t xml:space="preserve">Different page intents need different asks</t>
  </si>
  <si>
    <t xml:space="preserve">Form structure</t>
  </si>
  <si>
    <t xml:space="preserve">Three steps: (1) what you need, (2) about your business, (3) contact</t>
  </si>
  <si>
    <t xml:space="preserve">The competitor's three-step conditional form is the strongest single conversion asset in the dataset</t>
  </si>
  <si>
    <t xml:space="preserve">Step 1 fields</t>
  </si>
  <si>
    <t xml:space="preserve">Multi-select service need, with an 'not sure' option</t>
  </si>
  <si>
    <t xml:space="preserve">Routing plus qualification in one question</t>
  </si>
  <si>
    <t xml:space="preserve">Step 2 fields</t>
  </si>
  <si>
    <t xml:space="preserve">Current website URL (optional), current platform, company size or revenue band, budget band, desired start date, target market</t>
  </si>
  <si>
    <t xml:space="preserve">Budget and timeline bands filter out unqualified enquiries before a call is booked</t>
  </si>
  <si>
    <t xml:space="preserve">Step 3 fields</t>
  </si>
  <si>
    <t xml:space="preserve">Name, work email, company, country, project description</t>
  </si>
  <si>
    <t xml:space="preserve">Keep to the minimum needed to reply</t>
  </si>
  <si>
    <t xml:space="preserve">Conditional qualifiers</t>
  </si>
  <si>
    <t xml:space="preserve">Show 3-5 extra fields based on the service selected (e.g. integration: which systems, which direction, how often)</t>
  </si>
  <si>
    <t xml:space="preserve">Depth without length; the buyer only sees what applies to them</t>
  </si>
  <si>
    <t xml:space="preserve">Budget bands</t>
  </si>
  <si>
    <t xml:space="preserve">Publish bands rather than asking for an open number; include a 'need guidance' option</t>
  </si>
  <si>
    <t xml:space="preserve">Anchors expectations and reduces mismatched enquiries</t>
  </si>
  <si>
    <t xml:space="preserve">Disqualification</t>
  </si>
  <si>
    <t xml:space="preserve">State the minimum viable engagement plainly on the pricing page and in the form intro</t>
  </si>
  <si>
    <t xml:space="preserve">High-volume unqualified enquiry is a failure state, not a win</t>
  </si>
  <si>
    <t xml:space="preserve">Response commitment</t>
  </si>
  <si>
    <t xml:space="preserve">'A senior developer reviews every enquiry and replies within one business day' - only if true</t>
  </si>
  <si>
    <t xml:space="preserve">The competitor makes this promise; it converts, but only if honoured</t>
  </si>
  <si>
    <t xml:space="preserve">CTA placement</t>
  </si>
  <si>
    <t xml:space="preserve">Hero, after the solution section, after proof, before FAQ, in the footer</t>
  </si>
  <si>
    <t xml:space="preserve">Five placements without popups</t>
  </si>
  <si>
    <t xml:space="preserve">CTA language by page type</t>
  </si>
  <si>
    <t xml:space="preserve">Service: request a scope. Migration: request an assessment. Integration: scope an integration. Performance: request an audit. Retainer: compare plans. Case study: discuss a similar project</t>
  </si>
  <si>
    <t xml:space="preserve">Intent-matched CTAs outperform one generic 'Get a Quote'</t>
  </si>
  <si>
    <t xml:space="preserve">Trust adjacency</t>
  </si>
  <si>
    <t xml:space="preserve">Place the offshore objection handling and the security link next to the form, not on a separate page</t>
  </si>
  <si>
    <t xml:space="preserve">The objection peaks at the moment of submission</t>
  </si>
  <si>
    <t xml:space="preserve">Booking</t>
  </si>
  <si>
    <t xml:space="preserve">Timezone-aware scheduler showing the buyer's local time</t>
  </si>
  <si>
    <t xml:space="preserve">The Nepal time difference is a real friction point for US and UK buyers</t>
  </si>
  <si>
    <t xml:space="preserve">Thank-you page</t>
  </si>
  <si>
    <t xml:space="preserve">Noindexed, sets expectations, links to work and how-we-work, fires generate_lead</t>
  </si>
  <si>
    <t xml:space="preserve">Measurement plus momentum</t>
  </si>
  <si>
    <t xml:space="preserve">Exit popups, chat bait, fake urgency, countdowns, 'free audit' offers with no substance</t>
  </si>
  <si>
    <t xml:space="preserve">Erodes the credibility the rest of the site is trying to build</t>
  </si>
  <si>
    <t xml:space="preserve">Measurement and event plan</t>
  </si>
  <si>
    <t xml:space="preserve">Closed-loop attribution is the difference between judging this programme on leads and judging it on traffic.</t>
  </si>
  <si>
    <t xml:space="preserve">Event / metric</t>
  </si>
  <si>
    <t xml:space="preserve">Definition</t>
  </si>
  <si>
    <t xml:space="preserve">generate_lead</t>
  </si>
  <si>
    <t xml:space="preserve">Enquiry form submitted successfully</t>
  </si>
  <si>
    <t xml:space="preserve">Thank-you page and form callback</t>
  </si>
  <si>
    <t xml:space="preserve">form_start</t>
  </si>
  <si>
    <t xml:space="preserve">First field interaction on the enquiry form</t>
  </si>
  <si>
    <t xml:space="preserve">form_step_complete</t>
  </si>
  <si>
    <t xml:space="preserve">Each step of the three-step form completed, with step number</t>
  </si>
  <si>
    <t xml:space="preserve">form_abandon</t>
  </si>
  <si>
    <t xml:space="preserve">Form started, step not completed within the session</t>
  </si>
  <si>
    <t xml:space="preserve">book_call</t>
  </si>
  <si>
    <t xml:space="preserve">Booking confirmed in the scheduler</t>
  </si>
  <si>
    <t xml:space="preserve">Booking page</t>
  </si>
  <si>
    <t xml:space="preserve">request_audit</t>
  </si>
  <si>
    <t xml:space="preserve">Audit or assessment request submitted</t>
  </si>
  <si>
    <t xml:space="preserve">Service pages</t>
  </si>
  <si>
    <t xml:space="preserve">cta_click</t>
  </si>
  <si>
    <t xml:space="preserve">Any primary or secondary CTA click, with page and CTA label parameters</t>
  </si>
  <si>
    <t xml:space="preserve">Site-wide</t>
  </si>
  <si>
    <t xml:space="preserve">email_click</t>
  </si>
  <si>
    <t xml:space="preserve">mailto click</t>
  </si>
  <si>
    <t xml:space="preserve">phone_click</t>
  </si>
  <si>
    <t xml:space="preserve">tel click</t>
  </si>
  <si>
    <t xml:space="preserve">whatsapp_click</t>
  </si>
  <si>
    <t xml:space="preserve">WhatsApp contact click</t>
  </si>
  <si>
    <t xml:space="preserve">scroll_75</t>
  </si>
  <si>
    <t xml:space="preserve">75% scroll depth on commercial and article pages</t>
  </si>
  <si>
    <t xml:space="preserve">file_download</t>
  </si>
  <si>
    <t xml:space="preserve">Any resource download</t>
  </si>
  <si>
    <t xml:space="preserve">Insights and service pages</t>
  </si>
  <si>
    <t xml:space="preserve">Closed-loop attribution</t>
  </si>
  <si>
    <t xml:space="preserve">Enquiry to qualified to proposal to won, with landing page, source and country carried through to the CRM</t>
  </si>
  <si>
    <t xml:space="preserve">CRM plus GA4 offline conversion import</t>
  </si>
  <si>
    <t xml:space="preserve">Lead quality rate</t>
  </si>
  <si>
    <t xml:space="preserve">Qualified enquiries divided by total enquiries</t>
  </si>
  <si>
    <t xml:space="preserve">Cost per qualified lead by channel</t>
  </si>
  <si>
    <t xml:space="preserve">Once paid channels exist</t>
  </si>
  <si>
    <t xml:space="preserve">CRM plus GA4</t>
  </si>
  <si>
    <t xml:space="preserve">Landing-page-level pipeline</t>
  </si>
  <si>
    <t xml:space="preserve">Which pages produce enquiries that actually close</t>
  </si>
  <si>
    <t xml:space="preserve">Country performance</t>
  </si>
  <si>
    <t xml:space="preserve">Impressions, clicks, enquiries by market</t>
  </si>
  <si>
    <t xml:space="preserve">GSC plus GA4</t>
  </si>
  <si>
    <t xml:space="preserve">Index coverage</t>
  </si>
  <si>
    <t xml:space="preserve">Indexed vs submitted, by sitemap segment</t>
  </si>
  <si>
    <t xml:space="preserve">Search Console</t>
  </si>
  <si>
    <t xml:space="preserve">Core Web Vitals field data</t>
  </si>
  <si>
    <t xml:space="preserve">LCP, INP, CLS at the URL-group level</t>
  </si>
  <si>
    <t xml:space="preserve">Search Console plus PSI</t>
  </si>
  <si>
    <t xml:space="preserve">Leading indicators (first 90 days)</t>
  </si>
  <si>
    <t xml:space="preserve">Indexation, impressions, first ranking positions, first enquiries. Not revenue</t>
  </si>
  <si>
    <t xml:space="preserve">Link acquisition and distribution plan</t>
  </si>
  <si>
    <t xml:space="preserve">For agency buying, review platforms often occupy the commercial SERP. Treat them as a primary channel, not an afterthought.</t>
  </si>
  <si>
    <t xml:space="preserve">Category</t>
  </si>
  <si>
    <t xml:space="preserve">Targets</t>
  </si>
  <si>
    <t xml:space="preserve">Relevance</t>
  </si>
  <si>
    <t xml:space="preserve">Approach</t>
  </si>
  <si>
    <t xml:space="preserve">Review and directory platforms</t>
  </si>
  <si>
    <t xml:space="preserve">Clutch, GoodFirms, DesignRush, G2, Upwork</t>
  </si>
  <si>
    <t xml:space="preserve">Complete profiles fully; collect verified reviews from real clients</t>
  </si>
  <si>
    <t xml:space="preserve">Entity and knowledge graph</t>
  </si>
  <si>
    <t xml:space="preserve">LinkedIn company page, Crunchbase, GitHub organisation, founder profiles</t>
  </si>
  <si>
    <t xml:space="preserve">Consistent naming and details; link with Organization sameAs</t>
  </si>
  <si>
    <t xml:space="preserve">Platform ecosystems</t>
  </si>
  <si>
    <t xml:space="preserve">WordPress plugin/theme repositories, Shopify Partner directory (if capability confirmed)</t>
  </si>
  <si>
    <t xml:space="preserve">Contribute something real: a plugin, a theme, documented fixes</t>
  </si>
  <si>
    <t xml:space="preserve">Local and national coverage</t>
  </si>
  <si>
    <t xml:space="preserve">Nepal tech press, startup and business media, university and community programmes</t>
  </si>
  <si>
    <t xml:space="preserve">Genuinely easier to earn than US/UK/AU coverage, and links are links</t>
  </si>
  <si>
    <t xml:space="preserve">Client and partner links</t>
  </si>
  <si>
    <t xml:space="preserve">Portfolio clients, technology partners, suppliers</t>
  </si>
  <si>
    <t xml:space="preserve">Request a credit link where the client is willing</t>
  </si>
  <si>
    <t xml:space="preserve">Founder thought leadership</t>
  </si>
  <si>
    <t xml:space="preserve">Podcasts, interviews, developer community talks, conference listings</t>
  </si>
  <si>
    <t xml:space="preserve">Pitch a specific, evidenced angle rather than a general introduction</t>
  </si>
  <si>
    <t xml:space="preserve">Original research or teardown</t>
  </si>
  <si>
    <t xml:space="preserve">A data study or technical teardown worth citing</t>
  </si>
  <si>
    <t xml:space="preserve">The only reliable link-earning asset available to a new domain. Needs a real dataset</t>
  </si>
  <si>
    <t xml:space="preserve">Editorial contributions</t>
  </si>
  <si>
    <t xml:space="preserve">Reputable industry publications in the target markets</t>
  </si>
  <si>
    <t xml:space="preserve">Genuine expert contributions only, on topics Hiver can evidence</t>
  </si>
  <si>
    <t xml:space="preserve">FORBIDDEN</t>
  </si>
  <si>
    <t xml:space="preserve">Paid link networks, PBNs, mass guest posting, comment and forum spam, scaled link exchanges, low-quality directory blasts</t>
  </si>
  <si>
    <t xml:space="preserve">Do not use under any circumstances. The short-term gain does not survive</t>
  </si>
  <si>
    <t xml:space="preserve">Never</t>
  </si>
  <si>
    <t xml:space="preserve">Implementation roadmap - Phase 0 through month 12</t>
  </si>
  <si>
    <t xml:space="preserve">Phase 0 is not SEO. It is removing fabricated content and making decisions. Nothing later works without it.</t>
  </si>
  <si>
    <t xml:space="preserve">Phase</t>
  </si>
  <si>
    <t xml:space="preserve">Window</t>
  </si>
  <si>
    <t xml:space="preserve">Workstream</t>
  </si>
  <si>
    <t xml:space="preserve">Task</t>
  </si>
  <si>
    <t xml:space="preserve">Success measure</t>
  </si>
  <si>
    <t xml:space="preserve">Phase 0</t>
  </si>
  <si>
    <t xml:space="preserve">Week 0-2</t>
  </si>
  <si>
    <t xml:space="preserve">Unblock</t>
  </si>
  <si>
    <t xml:space="preserve">Remove the construction banner, the demo testimonials and the placeholder logos</t>
  </si>
  <si>
    <t xml:space="preserve">Nothing fabricated remains on the site</t>
  </si>
  <si>
    <t xml:space="preserve">Decide the domain question and the brand-naming question</t>
  </si>
  <si>
    <t xml:space="preserve">Trademark advice</t>
  </si>
  <si>
    <t xml:space="preserve">A written decision with reasoning</t>
  </si>
  <si>
    <t xml:space="preserve">Install GA4, GTM, Search Console (all variants), Bing Webmaster</t>
  </si>
  <si>
    <t xml:space="preserve">Baseline data flowing</t>
  </si>
  <si>
    <t xml:space="preserve">Fill the Data Required register</t>
  </si>
  <si>
    <t xml:space="preserve">Every open question answered or explicitly deferred</t>
  </si>
  <si>
    <t xml:space="preserve">Phase 1</t>
  </si>
  <si>
    <t xml:space="preserve">Day 1-30</t>
  </si>
  <si>
    <t xml:space="preserve">Implement the URL structure, redirect map, canonicals, sitemaps, robots, breadcrumbs</t>
  </si>
  <si>
    <t xml:space="preserve">Domain decision</t>
  </si>
  <si>
    <t xml:space="preserve">Clean crawl, no chains, no orphans</t>
  </si>
  <si>
    <t xml:space="preserve">Core Web Vitals baseline plus CDN, caching and image pipeline</t>
  </si>
  <si>
    <t xml:space="preserve">Hosting review</t>
  </si>
  <si>
    <t xml:space="preserve">LCP, INP and CLS measured and improving</t>
  </si>
  <si>
    <t xml:space="preserve">Publish P0 pages: home, 5 core services, about, team, works hub, insights hub, contact, enquiry, legal</t>
  </si>
  <si>
    <t xml:space="preserve">Copy approval</t>
  </si>
  <si>
    <t xml:space="preserve">All P0 rows in the URL Map are live</t>
  </si>
  <si>
    <t xml:space="preserve">Real team profiles, honest location statement, legal pages</t>
  </si>
  <si>
    <t xml:space="preserve">Photos and bios</t>
  </si>
  <si>
    <t xml:space="preserve">No placeholder content anywhere</t>
  </si>
  <si>
    <t xml:space="preserve">Create and complete Clutch, LinkedIn, Crunchbase, GoodFirms profiles</t>
  </si>
  <si>
    <t xml:space="preserve">Company details</t>
  </si>
  <si>
    <t xml:space="preserve">Profiles live and consistent</t>
  </si>
  <si>
    <t xml:space="preserve">Build the three-step enquiry form with conditional qualifiers and event tracking</t>
  </si>
  <si>
    <t xml:space="preserve">Field set sign-off</t>
  </si>
  <si>
    <t xml:space="preserve">Test submissions tracked end to end</t>
  </si>
  <si>
    <t xml:space="preserve">Phase 2</t>
  </si>
  <si>
    <t xml:space="preserve">Day 31-60</t>
  </si>
  <si>
    <t xml:space="preserve">Publish the first fully documented case study</t>
  </si>
  <si>
    <t xml:space="preserve">Client permission (BLOCKER)</t>
  </si>
  <si>
    <t xml:space="preserve">One case study with verified metrics live</t>
  </si>
  <si>
    <t xml:space="preserve">Publish P1 service pages, the integrations hub and the first two integration pages</t>
  </si>
  <si>
    <t xml:space="preserve">Capability confirmation</t>
  </si>
  <si>
    <t xml:space="preserve">P1 rows live</t>
  </si>
  <si>
    <t xml:space="preserve">Publish the first four Tier A insight articles from the Content Calendar</t>
  </si>
  <si>
    <t xml:space="preserve">Real pricing data, named author</t>
  </si>
  <si>
    <t xml:space="preserve">Four articles live with real bylines</t>
  </si>
  <si>
    <t xml:space="preserve">Structured data across all templates; validate</t>
  </si>
  <si>
    <t xml:space="preserve">Templates live</t>
  </si>
  <si>
    <t xml:space="preserve">No errors in Rich Results Test</t>
  </si>
  <si>
    <t xml:space="preserve">Publish pricing, how-we-work and security pages</t>
  </si>
  <si>
    <t xml:space="preserve">Real policies</t>
  </si>
  <si>
    <t xml:space="preserve">Three trust pages live</t>
  </si>
  <si>
    <t xml:space="preserve">Phase 3</t>
  </si>
  <si>
    <t xml:space="preserve">Day 61-90</t>
  </si>
  <si>
    <t xml:space="preserve">Complete the first two clusters; internal-link build across all published pages</t>
  </si>
  <si>
    <t xml:space="preserve">Pages live</t>
  </si>
  <si>
    <t xml:space="preserve">No orphan pages; every commercial page has inbound editorial links</t>
  </si>
  <si>
    <t xml:space="preserve">Begin review collection and the first link-acquisition push</t>
  </si>
  <si>
    <t xml:space="preserve">Happy clients</t>
  </si>
  <si>
    <t xml:space="preserve">First verified third-party reviews live</t>
  </si>
  <si>
    <t xml:space="preserve">First performance review against leading indicators; fix the worst CTR and CWV offenders</t>
  </si>
  <si>
    <t xml:space="preserve">30+ days of data</t>
  </si>
  <si>
    <t xml:space="preserve">Documented review with next actions</t>
  </si>
  <si>
    <t xml:space="preserve">Phase 4</t>
  </si>
  <si>
    <t xml:space="preserve">Month 4-6</t>
  </si>
  <si>
    <t xml:space="preserve">Tier B pushes, cost and comparison content, product section if confirmed</t>
  </si>
  <si>
    <t xml:space="preserve">Product status</t>
  </si>
  <si>
    <t xml:space="preserve">Cluster coverage complete for two clusters</t>
  </si>
  <si>
    <t xml:space="preserve">Original research or technical teardown asset</t>
  </si>
  <si>
    <t xml:space="preserve">Real dataset</t>
  </si>
  <si>
    <t xml:space="preserve">One citable asset published</t>
  </si>
  <si>
    <t xml:space="preserve">Second and third case studies</t>
  </si>
  <si>
    <t xml:space="preserve">Client permission</t>
  </si>
  <si>
    <t xml:space="preserve">Three case studies live</t>
  </si>
  <si>
    <t xml:space="preserve">Phase 5</t>
  </si>
  <si>
    <t xml:space="preserve">Month 7-12</t>
  </si>
  <si>
    <t xml:space="preserve">Growth</t>
  </si>
  <si>
    <t xml:space="preserve">Attempt Tier C targets only where the authority gap has measurably narrowed</t>
  </si>
  <si>
    <t xml:space="preserve">Link and content base</t>
  </si>
  <si>
    <t xml:space="preserve">Documented decision per target</t>
  </si>
  <si>
    <t xml:space="preserve">Geo pages only if each can carry genuinely market-specific substance</t>
  </si>
  <si>
    <t xml:space="preserve">Market-specific proof</t>
  </si>
  <si>
    <t xml:space="preserve">Either justified and built, or formally dropped</t>
  </si>
  <si>
    <t xml:space="preserve">Operations</t>
  </si>
  <si>
    <t xml:space="preserve">Quarterly content refresh cycle and closed-loop reporting review</t>
  </si>
  <si>
    <t xml:space="preserve">CRM data</t>
  </si>
  <si>
    <t xml:space="preserve">Page-level pipeline attribution working</t>
  </si>
  <si>
    <t xml:space="preserve">Risk register and expectation setting</t>
  </si>
  <si>
    <t xml:space="preserve">Read alongside the roadmap. No specific ranking or traffic outcome is promised anywhere in this workbook.</t>
  </si>
  <si>
    <t xml:space="preserve">Risk</t>
  </si>
  <si>
    <t xml:space="preserve">Description</t>
  </si>
  <si>
    <t xml:space="preserve">Mitigation</t>
  </si>
  <si>
    <t xml:space="preserve">Domain constraint</t>
  </si>
  <si>
    <t xml:space="preserve">The .com.np ccTLD carries a Nepal geographic signal that cannot be overridden for a country-code TLD</t>
  </si>
  <si>
    <t xml:space="preserve">Migrate to a gTLD before building, or accept a materially lower ceiling on US/AU/UK commercial terms</t>
  </si>
  <si>
    <t xml:space="preserve">Brand collision</t>
  </si>
  <si>
    <t xml:space="preserve">An established SaaS company owns the 'Hiver' brand search space</t>
  </si>
  <si>
    <t xml:space="preserve">Standardise on 'Hiver Technology'; never target the bare brand term; take trademark advice</t>
  </si>
  <si>
    <t xml:space="preserve">No proof assets</t>
  </si>
  <si>
    <t xml:space="preserve">No case studies, no real testimonials, no verifiable metrics</t>
  </si>
  <si>
    <t xml:space="preserve">This blocks conversion regardless of ranking. Securing one permissioned case study is the highest-value action available</t>
  </si>
  <si>
    <t xml:space="preserve">Capability mismatch</t>
  </si>
  <si>
    <t xml:space="preserve">The brief plans Shopify, SEO and automation pages for services that may not be delivered today</t>
  </si>
  <si>
    <t xml:space="preserve">Keep every gated page blocked until capability is confirmed. Selling what you cannot deliver is worse than ranking for nothing</t>
  </si>
  <si>
    <t xml:space="preserve">Authority gap</t>
  </si>
  <si>
    <t xml:space="preserve">A new, near-zero-authority domain cannot compete on head commercial terms in year one</t>
  </si>
  <si>
    <t xml:space="preserve">Tier A first. Accept that Tier C is a year-two conversation</t>
  </si>
  <si>
    <t xml:space="preserve">Thin content risk</t>
  </si>
  <si>
    <t xml:space="preserve">Copying the competitor's 69-page service template without the depth to support it</t>
  </si>
  <si>
    <t xml:space="preserve">Build 8-10 strong pages, not 69 weak ones</t>
  </si>
  <si>
    <t xml:space="preserve">Capacity risk</t>
  </si>
  <si>
    <t xml:space="preserve">The content cadence assumes writing capability Hiver has not confirmed</t>
  </si>
  <si>
    <t xml:space="preserve">Confirm real capacity; halve the calendar rather than publishing filler</t>
  </si>
  <si>
    <t xml:space="preserve">Regulatory risk</t>
  </si>
  <si>
    <t xml:space="preserve">Fabricated testimonials currently live on the site</t>
  </si>
  <si>
    <t xml:space="preserve">Remove immediately. This is the most urgent item in the workbook</t>
  </si>
  <si>
    <t xml:space="preserve">Measurement blindness</t>
  </si>
  <si>
    <t xml:space="preserve">No GA4 or CRM attribution means the programme will be judged on vanity metrics</t>
  </si>
  <si>
    <t xml:space="preserve">Closed-loop attribution in Phase 0-1</t>
  </si>
  <si>
    <t xml:space="preserve">Expectation risk</t>
  </si>
  <si>
    <t xml:space="preserve">SEO on this footing takes quarters, not weeks</t>
  </si>
  <si>
    <t xml:space="preserve">Agree the leading indicators for the first 90 days in writing before starting</t>
  </si>
  <si>
    <t xml:space="preserve">Data required from Hiver</t>
  </si>
  <si>
    <t xml:space="preserve">Every dependent recommendation is provisional until these are answered. D09, D14, D17 and D25 block the most work.</t>
  </si>
  <si>
    <t xml:space="preserve">What is needed</t>
  </si>
  <si>
    <t xml:space="preserve">What it blocks</t>
  </si>
  <si>
    <t xml:space="preserve">D01</t>
  </si>
  <si>
    <t xml:space="preserve">Access</t>
  </si>
  <si>
    <t xml:space="preserve">Google Search Console access, 16-month export</t>
  </si>
  <si>
    <t xml:space="preserve">Blocks baseline measurement</t>
  </si>
  <si>
    <t xml:space="preserve">Open</t>
  </si>
  <si>
    <t xml:space="preserve">D02</t>
  </si>
  <si>
    <t xml:space="preserve">GA4 access, or confirmation that it is not installed</t>
  </si>
  <si>
    <t xml:space="preserve">D03</t>
  </si>
  <si>
    <t xml:space="preserve">Hosting, CDN and server details</t>
  </si>
  <si>
    <t xml:space="preserve">Blocks the performance plan</t>
  </si>
  <si>
    <t xml:space="preserve">D04</t>
  </si>
  <si>
    <t xml:space="preserve">Ahrefs or Semrush seat, or budget for one</t>
  </si>
  <si>
    <t xml:space="preserve">Blocks all volume, difficulty and CPC columns</t>
  </si>
  <si>
    <t xml:space="preserve">D05</t>
  </si>
  <si>
    <t xml:space="preserve">Which services are genuinely delivered today, and by whom</t>
  </si>
  <si>
    <t xml:space="preserve">Determines which pages may exist at all</t>
  </si>
  <si>
    <t xml:space="preserve">D06</t>
  </si>
  <si>
    <t xml:space="preserve">Shopify track record: stores built, Partner status, Plus experience</t>
  </si>
  <si>
    <t xml:space="preserve">Gates the entire Shopify cluster</t>
  </si>
  <si>
    <t xml:space="preserve">D07</t>
  </si>
  <si>
    <t xml:space="preserve">SEO track record: any client results Hiver can evidence</t>
  </si>
  <si>
    <t xml:space="preserve">Gates the SEO service cluster</t>
  </si>
  <si>
    <t xml:space="preserve">D08</t>
  </si>
  <si>
    <t xml:space="preserve">Integration track record: which systems have actually been connected</t>
  </si>
  <si>
    <t xml:space="preserve">Gates each integration page</t>
  </si>
  <si>
    <t xml:space="preserve">D09</t>
  </si>
  <si>
    <t xml:space="preserve">One completed project with written permission to name the client and publish metrics</t>
  </si>
  <si>
    <t xml:space="preserve">The single hardest blocker in this plan</t>
  </si>
  <si>
    <t xml:space="preserve">D10</t>
  </si>
  <si>
    <t xml:space="preserve">Real testimonials with attribution permission</t>
  </si>
  <si>
    <t xml:space="preserve">Replaces the placeholder testimonials</t>
  </si>
  <si>
    <t xml:space="preserve">D11</t>
  </si>
  <si>
    <t xml:space="preserve">Permissioned client logos</t>
  </si>
  <si>
    <t xml:space="preserve">Replaces the placeholder logo strip</t>
  </si>
  <si>
    <t xml:space="preserve">D12</t>
  </si>
  <si>
    <t xml:space="preserve">Team list with roles, years of experience, specialisms, photos, LinkedIn URLs</t>
  </si>
  <si>
    <t xml:space="preserve">Blocks team pages and Person schema</t>
  </si>
  <si>
    <t xml:space="preserve">D13</t>
  </si>
  <si>
    <t xml:space="preserve">Concurrent project capacity by stack</t>
  </si>
  <si>
    <t xml:space="preserve">Determines how much of this plan is deliverable</t>
  </si>
  <si>
    <t xml:space="preserve">D14</t>
  </si>
  <si>
    <t xml:space="preserve">Pricing bands per engagement type</t>
  </si>
  <si>
    <t xml:space="preserve">Blocks the pricing page and all cost content, which is the highest-value content type</t>
  </si>
  <si>
    <t xml:space="preserve">D15</t>
  </si>
  <si>
    <t xml:space="preserve">Minimum viable project size and disqualification criteria</t>
  </si>
  <si>
    <t xml:space="preserve">Blocks the form design</t>
  </si>
  <si>
    <t xml:space="preserve">D16</t>
  </si>
  <si>
    <t xml:space="preserve">Average deal size and close rate</t>
  </si>
  <si>
    <t xml:space="preserve">Blocks lead-value modelling and prioritisation</t>
  </si>
  <si>
    <t xml:space="preserve">D17</t>
  </si>
  <si>
    <t xml:space="preserve">Status of the school, clinic, dental, HR and employee products: live, licensable, bespoke? Pricing? Deployments?</t>
  </si>
  <si>
    <t xml:space="preserve">Gates the whole /products/ section</t>
  </si>
  <si>
    <t xml:space="preserve">D18</t>
  </si>
  <si>
    <t xml:space="preserve">Operational</t>
  </si>
  <si>
    <t xml:space="preserve">Guaranteed timezone overlap hours per target market</t>
  </si>
  <si>
    <t xml:space="preserve">Needed for the dedicated-team page and the trust cluster</t>
  </si>
  <si>
    <t xml:space="preserve">D19</t>
  </si>
  <si>
    <t xml:space="preserve">Contracting entity, contract template, IP assignment position, NDA process</t>
  </si>
  <si>
    <t xml:space="preserve">Needed for the security and compliance page</t>
  </si>
  <si>
    <t xml:space="preserve">D20</t>
  </si>
  <si>
    <t xml:space="preserve">Data protection position (GDPR/DPA), data residency options, security practices</t>
  </si>
  <si>
    <t xml:space="preserve">Procurement gate for UK and EU buyers</t>
  </si>
  <si>
    <t xml:space="preserve">D21</t>
  </si>
  <si>
    <t xml:space="preserve">Payment methods accepted and invoicing currency</t>
  </si>
  <si>
    <t xml:space="preserve">International transaction friction</t>
  </si>
  <si>
    <t xml:space="preserve">D22</t>
  </si>
  <si>
    <t xml:space="preserve">Trademark advice on the 'Hiver' name in the US, AU and UK</t>
  </si>
  <si>
    <t xml:space="preserve">Material commercial risk before investing in the brand</t>
  </si>
  <si>
    <t xml:space="preserve">D23</t>
  </si>
  <si>
    <t xml:space="preserve">Existing Clutch, G2, DesignRush, GoodFirms, Upwork and LinkedIn profiles</t>
  </si>
  <si>
    <t xml:space="preserve">Determines the distribution starting point</t>
  </si>
  <si>
    <t xml:space="preserve">D24</t>
  </si>
  <si>
    <t xml:space="preserve">Who will write, and how many articles per month is realistic</t>
  </si>
  <si>
    <t xml:space="preserve">Determines whether the calendar is achievable</t>
  </si>
  <si>
    <t xml:space="preserve">D25</t>
  </si>
  <si>
    <t xml:space="preserve">Decision on the .com.np versus gTLD question</t>
  </si>
  <si>
    <t xml:space="preserve">Blocks every URL in this workbook</t>
  </si>
  <si>
    <t xml:space="preserve">Open items</t>
  </si>
  <si>
    <t xml:space="preserve">P0 open items</t>
  </si>
  <si>
    <t xml:space="preserve">Pre-launch QA checklist</t>
  </si>
  <si>
    <t xml:space="preserve">Tick nothing until it is verified on the live site. Mark each row Done or Failed in the Status column.</t>
  </si>
  <si>
    <t xml:space="preserve">Stage</t>
  </si>
  <si>
    <t xml:space="preserve">Check</t>
  </si>
  <si>
    <t xml:space="preserve">Pre-launch</t>
  </si>
  <si>
    <t xml:space="preserve">No 'Under Construction' banner anywhere</t>
  </si>
  <si>
    <t xml:space="preserve">Not checked</t>
  </si>
  <si>
    <t xml:space="preserve">No placeholder testimonials, logos or alt text remain</t>
  </si>
  <si>
    <t xml:space="preserve">No '#' links in nav, footer or body</t>
  </si>
  <si>
    <t xml:space="preserve">Every indexable page has a unique title under 60 characters</t>
  </si>
  <si>
    <t xml:space="preserve">Every indexable page has a unique meta description under 155 characters</t>
  </si>
  <si>
    <t xml:space="preserve">Exactly one H1 per page</t>
  </si>
  <si>
    <t xml:space="preserve">Self-referencing canonical on every page</t>
  </si>
  <si>
    <t xml:space="preserve">Segmented XML sitemaps generated and submitted</t>
  </si>
  <si>
    <t xml:space="preserve">robots.txt correct; no accidental site-wide noindex</t>
  </si>
  <si>
    <t xml:space="preserve">No staging URLs indexed; staging password-protected</t>
  </si>
  <si>
    <t xml:space="preserve">HTTPS everywhere; single canonical host</t>
  </si>
  <si>
    <t xml:space="preserve">Redirect map complete for all old URLs; no chains; no loops</t>
  </si>
  <si>
    <t xml:space="preserve">Core Web Vitals measured from US, UK and AU, not only locally</t>
  </si>
  <si>
    <t xml:space="preserve">All images WebP/AVIF with correct srcset; LCP element not lazy-loaded</t>
  </si>
  <si>
    <t xml:space="preserve">Real alt text on every meaningful image</t>
  </si>
  <si>
    <t xml:space="preserve">Structured data validates with no errors; no Review or AggregateRating markup</t>
  </si>
  <si>
    <t xml:space="preserve">Breadcrumbs visible and marked up on every page below root</t>
  </si>
  <si>
    <t xml:space="preserve">Designed 404; no soft 404s</t>
  </si>
  <si>
    <t xml:space="preserve">No orphan pages; every page reachable within three clicks</t>
  </si>
  <si>
    <t xml:space="preserve">Internal links implemented per the Internal Links tab</t>
  </si>
  <si>
    <t xml:space="preserve">GA4, GTM, GSC and Bing configured; conversion events firing</t>
  </si>
  <si>
    <t xml:space="preserve">Enquiry form tested end to end, including conditional logic and spam protection</t>
  </si>
  <si>
    <t xml:space="preserve">Consent management live and correctly configured</t>
  </si>
  <si>
    <t xml:space="preserve">Legal pages published and linked</t>
  </si>
  <si>
    <t xml:space="preserve">Contact details verified and consistent everywhere</t>
  </si>
  <si>
    <t xml:space="preserve">Full copy proof-read; the four known typos fixed</t>
  </si>
  <si>
    <t xml:space="preserve">Every author is a real named person, not 'superadmin'</t>
  </si>
  <si>
    <t xml:space="preserve">No claim on the site is unsubstantiated; no invented metric anywhere</t>
  </si>
  <si>
    <t xml:space="preserve">No page implies an office or entity in a country where Hiver has none</t>
  </si>
  <si>
    <t xml:space="preserve">WCAG 2.2 AA scan passed; keyboard navigation manually verified</t>
  </si>
  <si>
    <t xml:space="preserve">Checks passed</t>
  </si>
  <si>
    <t xml:space="preserve">Total checks</t>
  </si>
  <si>
    <t xml:space="preserve">Percent complete</t>
  </si>
</sst>
</file>

<file path=xl/styles.xml><?xml version="1.0" encoding="utf-8"?>
<styleSheet xmlns="http://schemas.openxmlformats.org/spreadsheetml/2006/main">
  <numFmts count="5">
    <numFmt numFmtId="164" formatCode="General"/>
    <numFmt numFmtId="165" formatCode="0%"/>
    <numFmt numFmtId="166" formatCode="0.00"/>
    <numFmt numFmtId="167" formatCode="0.0"/>
    <numFmt numFmtId="168" formatCode="0"/>
  </numFmts>
  <fonts count="1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color rgb="FFFFFFFF"/>
      <name val="Arial"/>
      <family val="0"/>
      <charset val="1"/>
    </font>
    <font>
      <sz val="10"/>
      <name val="Arial"/>
      <family val="0"/>
      <charset val="1"/>
    </font>
    <font>
      <b val="true"/>
      <sz val="10"/>
      <name val="Arial"/>
      <family val="0"/>
      <charset val="1"/>
    </font>
    <font>
      <sz val="10"/>
      <color rgb="FF0000FF"/>
      <name val="Arial"/>
      <family val="0"/>
      <charset val="1"/>
    </font>
    <font>
      <b val="true"/>
      <sz val="10"/>
      <color rgb="FF9C0006"/>
      <name val="Arial"/>
      <family val="0"/>
      <charset val="1"/>
    </font>
    <font>
      <b val="true"/>
      <sz val="11"/>
      <color rgb="FFFFFFFF"/>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FF2CC"/>
        <bgColor rgb="FFFCE4E4"/>
      </patternFill>
    </fill>
    <fill>
      <patternFill patternType="solid">
        <fgColor rgb="FFFCE4E4"/>
        <bgColor rgb="FFF2F2F2"/>
      </patternFill>
    </fill>
    <fill>
      <patternFill patternType="solid">
        <fgColor rgb="FFE2EFDA"/>
        <bgColor rgb="FFF2F2F2"/>
      </patternFill>
    </fill>
    <fill>
      <patternFill patternType="solid">
        <fgColor rgb="FFF2F2F2"/>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10" fillId="4" borderId="1" xfId="0" applyFont="true" applyBorder="true" applyAlignment="true" applyProtection="false">
      <alignment horizontal="general" vertical="top" textRotation="0" wrapText="false" indent="0" shrinkToFit="false"/>
      <protection locked="true" hidden="false"/>
    </xf>
    <xf numFmtId="164" fontId="7" fillId="5"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4" fontId="7" fillId="6" borderId="1" xfId="0" applyFont="true" applyBorder="true" applyAlignment="true" applyProtection="false">
      <alignment horizontal="general" vertical="top"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9"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11" fillId="2" borderId="0"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E2EFDA"/>
          <bgColor rgb="FF000000"/>
        </patternFill>
      </fill>
    </dxf>
    <dxf>
      <fill>
        <patternFill patternType="solid">
          <fgColor rgb="FFFCE4E4"/>
          <bgColor rgb="FF000000"/>
        </patternFill>
      </fill>
    </dxf>
    <dxf>
      <fill>
        <patternFill patternType="solid">
          <fgColor rgb="FF9C0006"/>
          <bgColor rgb="FF000000"/>
        </patternFill>
      </fill>
    </dxf>
    <dxf>
      <fill>
        <patternFill patternType="solid">
          <fgColor rgb="FFF2F2F2"/>
          <bgColor rgb="FF000000"/>
        </patternFill>
      </fill>
    </dxf>
    <dxf>
      <fill>
        <patternFill patternType="solid">
          <fgColor rgb="FF0000FF"/>
          <bgColor rgb="FF000000"/>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FF548235"/>
      <rgbColor rgb="FF800080"/>
      <rgbColor rgb="FF008080"/>
      <rgbColor rgb="FFBFBFBF"/>
      <rgbColor rgb="FF808080"/>
      <rgbColor rgb="FF9999FF"/>
      <rgbColor rgb="FF7030A0"/>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2E75B6"/>
      <rgbColor rgb="FF33CCCC"/>
      <rgbColor rgb="FF99CC00"/>
      <rgbColor rgb="FFFFC000"/>
      <rgbColor rgb="FFBF8F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2.xml.rels><?xml version="1.0" encoding="UTF-8"?>
<Relationships xmlns="http://schemas.openxmlformats.org/package/2006/relationships"><Relationship Id="rId1" Type="http://schemas.openxmlformats.org/officeDocument/2006/relationships/drawing" Target="../drawings/drawing10.xml"/>
</Relationships>
</file>

<file path=xl/worksheets/_rels/sheet13.xml.rels><?xml version="1.0" encoding="UTF-8"?>
<Relationships xmlns="http://schemas.openxmlformats.org/package/2006/relationships"><Relationship Id="rId1" Type="http://schemas.openxmlformats.org/officeDocument/2006/relationships/drawing" Target="../drawings/drawing11.xml"/>
</Relationships>
</file>

<file path=xl/worksheets/_rels/sheet14.xml.rels><?xml version="1.0" encoding="UTF-8"?>
<Relationships xmlns="http://schemas.openxmlformats.org/package/2006/relationships"><Relationship Id="rId1" Type="http://schemas.openxmlformats.org/officeDocument/2006/relationships/drawing" Target="../drawings/drawing12.xml"/>
</Relationships>
</file>

<file path=xl/worksheets/_rels/sheet15.xml.rels><?xml version="1.0" encoding="UTF-8"?>
<Relationships xmlns="http://schemas.openxmlformats.org/package/2006/relationships"><Relationship Id="rId1" Type="http://schemas.openxmlformats.org/officeDocument/2006/relationships/drawing" Target="../drawings/drawing13.xml"/>
</Relationships>
</file>

<file path=xl/worksheets/_rels/sheet16.xml.rels><?xml version="1.0" encoding="UTF-8"?>
<Relationships xmlns="http://schemas.openxmlformats.org/package/2006/relationships"><Relationship Id="rId1" Type="http://schemas.openxmlformats.org/officeDocument/2006/relationships/drawing" Target="../drawings/drawing14.xml"/>
</Relationships>
</file>

<file path=xl/worksheets/_rels/sheet17.xml.rels><?xml version="1.0" encoding="UTF-8"?>
<Relationships xmlns="http://schemas.openxmlformats.org/package/2006/relationships"><Relationship Id="rId1" Type="http://schemas.openxmlformats.org/officeDocument/2006/relationships/drawing" Target="../drawings/drawing15.xml"/>
</Relationships>
</file>

<file path=xl/worksheets/_rels/sheet18.xml.rels><?xml version="1.0" encoding="UTF-8"?>
<Relationships xmlns="http://schemas.openxmlformats.org/package/2006/relationships"><Relationship Id="rId1" Type="http://schemas.openxmlformats.org/officeDocument/2006/relationships/drawing" Target="../drawings/drawing16.xml"/>
</Relationships>
</file>

<file path=xl/worksheets/_rels/sheet19.xml.rels><?xml version="1.0" encoding="UTF-8"?>
<Relationships xmlns="http://schemas.openxmlformats.org/package/2006/relationships"><Relationship Id="rId1" Type="http://schemas.openxmlformats.org/officeDocument/2006/relationships/drawing" Target="../drawings/drawing17.xml"/>
</Relationships>
</file>

<file path=xl/worksheets/_rels/sheet20.xml.rels><?xml version="1.0" encoding="UTF-8"?>
<Relationships xmlns="http://schemas.openxmlformats.org/package/2006/relationships"><Relationship Id="rId1" Type="http://schemas.openxmlformats.org/officeDocument/2006/relationships/drawing" Target="../drawings/drawing18.xml"/>
</Relationships>
</file>

<file path=xl/worksheets/_rels/sheet21.xml.rels><?xml version="1.0" encoding="UTF-8"?>
<Relationships xmlns="http://schemas.openxmlformats.org/package/2006/relationships"><Relationship Id="rId1" Type="http://schemas.openxmlformats.org/officeDocument/2006/relationships/drawing" Target="../drawings/drawing19.xml"/>
</Relationships>
</file>

<file path=xl/worksheets/_rels/sheet22.xml.rels><?xml version="1.0" encoding="UTF-8"?>
<Relationships xmlns="http://schemas.openxmlformats.org/package/2006/relationships"><Relationship Id="rId1" Type="http://schemas.openxmlformats.org/officeDocument/2006/relationships/drawing" Target="../drawings/drawing20.xml"/>
</Relationships>
</file>

<file path=xl/worksheets/_rels/sheet23.xml.rels><?xml version="1.0" encoding="UTF-8"?>
<Relationships xmlns="http://schemas.openxmlformats.org/package/2006/relationships"><Relationship Id="rId1" Type="http://schemas.openxmlformats.org/officeDocument/2006/relationships/drawing" Target="../drawings/drawing2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B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18"/>
  </cols>
  <sheetData>
    <row r="1" customFormat="false" ht="17.35" hidden="false" customHeight="false" outlineLevel="0" collapsed="false">
      <c r="A1" s="1" t="s">
        <v>0</v>
      </c>
    </row>
    <row r="2" customFormat="false" ht="15" hidden="false" customHeight="false" outlineLevel="0" collapsed="false">
      <c r="A2" s="2" t="s">
        <v>1</v>
      </c>
    </row>
    <row r="3" customFormat="false" ht="30" hidden="false" customHeight="true" outlineLevel="0" collapsed="false">
      <c r="A3" s="3" t="s">
        <v>2</v>
      </c>
      <c r="B3" s="3" t="s">
        <v>3</v>
      </c>
    </row>
    <row r="4" customFormat="false" ht="23.85" hidden="false" customHeight="false" outlineLevel="0" collapsed="false">
      <c r="A4" s="4" t="s">
        <v>4</v>
      </c>
      <c r="B4" s="4" t="s">
        <v>5</v>
      </c>
    </row>
    <row r="5" customFormat="false" ht="23.85" hidden="false" customHeight="false" outlineLevel="0" collapsed="false">
      <c r="A5" s="4" t="s">
        <v>6</v>
      </c>
      <c r="B5" s="4" t="s">
        <v>7</v>
      </c>
    </row>
    <row r="6" customFormat="false" ht="23.85" hidden="false" customHeight="false" outlineLevel="0" collapsed="false">
      <c r="A6" s="4" t="s">
        <v>8</v>
      </c>
      <c r="B6" s="5" t="s">
        <v>9</v>
      </c>
    </row>
    <row r="7" customFormat="false" ht="35.05" hidden="false" customHeight="false" outlineLevel="0" collapsed="false">
      <c r="A7" s="4" t="s">
        <v>10</v>
      </c>
      <c r="B7" s="5" t="s">
        <v>11</v>
      </c>
    </row>
    <row r="8" customFormat="false" ht="23.85" hidden="false" customHeight="false" outlineLevel="0" collapsed="false">
      <c r="A8" s="4" t="s">
        <v>12</v>
      </c>
      <c r="B8" s="4" t="s">
        <v>13</v>
      </c>
    </row>
    <row r="9" customFormat="false" ht="23.85" hidden="false" customHeight="false" outlineLevel="0" collapsed="false">
      <c r="A9" s="4" t="s">
        <v>14</v>
      </c>
      <c r="B9" s="5" t="s">
        <v>15</v>
      </c>
    </row>
    <row r="10" customFormat="false" ht="35.05" hidden="false" customHeight="false" outlineLevel="0" collapsed="false">
      <c r="A10" s="4" t="s">
        <v>16</v>
      </c>
      <c r="B10" s="4" t="s">
        <v>17</v>
      </c>
    </row>
    <row r="11" customFormat="false" ht="23.85" hidden="false" customHeight="false" outlineLevel="0" collapsed="false">
      <c r="A11" s="4" t="s">
        <v>18</v>
      </c>
      <c r="B11" s="4" t="s">
        <v>19</v>
      </c>
    </row>
    <row r="12" customFormat="false" ht="23.85" hidden="false" customHeight="false" outlineLevel="0" collapsed="false">
      <c r="A12" s="4" t="s">
        <v>20</v>
      </c>
      <c r="B12" s="4" t="s">
        <v>21</v>
      </c>
    </row>
    <row r="15" customFormat="false" ht="15" hidden="false" customHeight="false" outlineLevel="0" collapsed="false">
      <c r="A15" s="6" t="s">
        <v>22</v>
      </c>
    </row>
    <row r="16" customFormat="false" ht="15" hidden="false" customHeight="false" outlineLevel="0" collapsed="false">
      <c r="A16" s="7" t="s">
        <v>23</v>
      </c>
      <c r="B16" s="8" t="s">
        <v>24</v>
      </c>
    </row>
    <row r="17" customFormat="false" ht="15" hidden="false" customHeight="false" outlineLevel="0" collapsed="false">
      <c r="A17" s="9" t="s">
        <v>25</v>
      </c>
      <c r="B17" s="8" t="s">
        <v>26</v>
      </c>
    </row>
    <row r="18" customFormat="false" ht="15" hidden="false" customHeight="false" outlineLevel="0" collapsed="false">
      <c r="A18" s="8" t="s">
        <v>27</v>
      </c>
      <c r="B18" s="8" t="s">
        <v>28</v>
      </c>
    </row>
  </sheetData>
  <autoFilter ref="A3:B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8"/>
    <col collapsed="false" customWidth="true" hidden="false" outlineLevel="0" max="3" min="3" style="0" width="24"/>
  </cols>
  <sheetData>
    <row r="1" customFormat="false" ht="17.35" hidden="false" customHeight="false" outlineLevel="0" collapsed="false">
      <c r="A1" s="1" t="s">
        <v>29</v>
      </c>
    </row>
    <row r="2" customFormat="false" ht="15" hidden="false" customHeight="false" outlineLevel="0" collapsed="false">
      <c r="A2" s="2" t="s">
        <v>30</v>
      </c>
    </row>
    <row r="3" customFormat="false" ht="30" hidden="false" customHeight="true" outlineLevel="0" collapsed="false">
      <c r="A3" s="3" t="s">
        <v>31</v>
      </c>
      <c r="B3" s="3" t="s">
        <v>3</v>
      </c>
      <c r="C3" s="3" t="s">
        <v>32</v>
      </c>
    </row>
    <row r="4" customFormat="false" ht="35.05" hidden="false" customHeight="false" outlineLevel="0" collapsed="false">
      <c r="A4" s="4" t="s">
        <v>33</v>
      </c>
      <c r="B4" s="4" t="s">
        <v>34</v>
      </c>
      <c r="C4" s="4" t="s">
        <v>35</v>
      </c>
    </row>
    <row r="5" customFormat="false" ht="35.05" hidden="false" customHeight="false" outlineLevel="0" collapsed="false">
      <c r="A5" s="4" t="s">
        <v>36</v>
      </c>
      <c r="B5" s="4" t="s">
        <v>37</v>
      </c>
      <c r="C5" s="4" t="s">
        <v>38</v>
      </c>
    </row>
    <row r="6" customFormat="false" ht="35.05" hidden="false" customHeight="false" outlineLevel="0" collapsed="false">
      <c r="A6" s="4" t="s">
        <v>39</v>
      </c>
      <c r="B6" s="4" t="s">
        <v>40</v>
      </c>
      <c r="C6" s="4" t="s">
        <v>35</v>
      </c>
    </row>
    <row r="7" customFormat="false" ht="35.05" hidden="false" customHeight="false" outlineLevel="0" collapsed="false">
      <c r="A7" s="4" t="s">
        <v>41</v>
      </c>
      <c r="B7" s="4" t="s">
        <v>42</v>
      </c>
      <c r="C7" s="4" t="s">
        <v>43</v>
      </c>
    </row>
    <row r="8" customFormat="false" ht="35.05" hidden="false" customHeight="false" outlineLevel="0" collapsed="false">
      <c r="A8" s="4" t="s">
        <v>44</v>
      </c>
      <c r="B8" s="4" t="s">
        <v>45</v>
      </c>
      <c r="C8" s="4" t="s">
        <v>43</v>
      </c>
    </row>
    <row r="9" customFormat="false" ht="35.05" hidden="false" customHeight="false" outlineLevel="0" collapsed="false">
      <c r="A9" s="4" t="s">
        <v>46</v>
      </c>
      <c r="B9" s="4" t="s">
        <v>47</v>
      </c>
      <c r="C9" s="4" t="s">
        <v>38</v>
      </c>
    </row>
    <row r="10" customFormat="false" ht="35.05" hidden="false" customHeight="false" outlineLevel="0" collapsed="false">
      <c r="A10" s="4" t="s">
        <v>48</v>
      </c>
      <c r="B10" s="4" t="s">
        <v>49</v>
      </c>
      <c r="C10" s="4" t="s">
        <v>35</v>
      </c>
    </row>
    <row r="11" customFormat="false" ht="35.05" hidden="false" customHeight="false" outlineLevel="0" collapsed="false">
      <c r="A11" s="4" t="s">
        <v>50</v>
      </c>
      <c r="B11" s="4" t="s">
        <v>51</v>
      </c>
      <c r="C11" s="4" t="s">
        <v>35</v>
      </c>
    </row>
    <row r="12" customFormat="false" ht="23.85" hidden="false" customHeight="false" outlineLevel="0" collapsed="false">
      <c r="A12" s="4" t="s">
        <v>52</v>
      </c>
      <c r="B12" s="4" t="s">
        <v>53</v>
      </c>
      <c r="C12" s="4" t="s">
        <v>38</v>
      </c>
    </row>
    <row r="13" customFormat="false" ht="35.05" hidden="false" customHeight="false" outlineLevel="0" collapsed="false">
      <c r="A13" s="4" t="s">
        <v>54</v>
      </c>
      <c r="B13" s="4" t="s">
        <v>55</v>
      </c>
      <c r="C13" s="4" t="s">
        <v>35</v>
      </c>
    </row>
  </sheetData>
  <autoFilter ref="A3:C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6"/>
    <col collapsed="false" customWidth="true" hidden="false" outlineLevel="0" max="3" min="3" style="0" width="52"/>
    <col collapsed="false" customWidth="true" hidden="false" outlineLevel="0" max="4" min="4" style="0" width="26"/>
    <col collapsed="false" customWidth="true" hidden="false" outlineLevel="0" max="5" min="5" style="0" width="52"/>
    <col collapsed="false" customWidth="true" hidden="false" outlineLevel="0" max="6" min="6" style="0" width="15"/>
    <col collapsed="false" customWidth="true" hidden="false" outlineLevel="0" max="7" min="7" style="0" width="12"/>
    <col collapsed="false" customWidth="true" hidden="false" outlineLevel="0" max="8" min="8" style="0" width="52"/>
  </cols>
  <sheetData>
    <row r="1" customFormat="false" ht="17.35" hidden="false" customHeight="false" outlineLevel="0" collapsed="false">
      <c r="A1" s="1" t="s">
        <v>56</v>
      </c>
    </row>
    <row r="2" customFormat="false" ht="15" hidden="false" customHeight="false" outlineLevel="0" collapsed="false">
      <c r="A2" s="2" t="s">
        <v>57</v>
      </c>
    </row>
    <row r="3" customFormat="false" ht="30" hidden="false" customHeight="true" outlineLevel="0" collapsed="false">
      <c r="A3" s="3" t="s">
        <v>58</v>
      </c>
      <c r="B3" s="3" t="s">
        <v>59</v>
      </c>
      <c r="C3" s="3" t="s">
        <v>31</v>
      </c>
      <c r="D3" s="3" t="s">
        <v>60</v>
      </c>
      <c r="E3" s="3" t="s">
        <v>61</v>
      </c>
      <c r="F3" s="3" t="s">
        <v>62</v>
      </c>
      <c r="G3" s="3" t="s">
        <v>63</v>
      </c>
      <c r="H3" s="3" t="s">
        <v>64</v>
      </c>
    </row>
    <row r="4" customFormat="false" ht="23.85" hidden="false" customHeight="false" outlineLevel="0" collapsed="false">
      <c r="A4" s="10" t="s">
        <v>65</v>
      </c>
      <c r="B4" s="10" t="s">
        <v>66</v>
      </c>
      <c r="C4" s="4" t="s">
        <v>67</v>
      </c>
      <c r="D4" s="4" t="s">
        <v>68</v>
      </c>
      <c r="E4" s="4" t="s">
        <v>69</v>
      </c>
      <c r="F4" s="11" t="s">
        <v>70</v>
      </c>
      <c r="G4" s="10" t="s">
        <v>71</v>
      </c>
      <c r="H4" s="4" t="s">
        <v>72</v>
      </c>
    </row>
    <row r="5" customFormat="false" ht="35.05" hidden="false" customHeight="false" outlineLevel="0" collapsed="false">
      <c r="A5" s="10" t="s">
        <v>73</v>
      </c>
      <c r="B5" s="10" t="s">
        <v>74</v>
      </c>
      <c r="C5" s="4" t="s">
        <v>75</v>
      </c>
      <c r="D5" s="4" t="s">
        <v>76</v>
      </c>
      <c r="E5" s="4" t="s">
        <v>77</v>
      </c>
      <c r="F5" s="11" t="s">
        <v>70</v>
      </c>
      <c r="G5" s="10" t="s">
        <v>78</v>
      </c>
      <c r="H5" s="4" t="s">
        <v>79</v>
      </c>
    </row>
    <row r="6" customFormat="false" ht="23.85" hidden="false" customHeight="false" outlineLevel="0" collapsed="false">
      <c r="A6" s="10" t="s">
        <v>80</v>
      </c>
      <c r="B6" s="10" t="s">
        <v>66</v>
      </c>
      <c r="C6" s="4" t="s">
        <v>81</v>
      </c>
      <c r="D6" s="4" t="s">
        <v>82</v>
      </c>
      <c r="E6" s="4" t="s">
        <v>83</v>
      </c>
      <c r="F6" s="11" t="s">
        <v>70</v>
      </c>
      <c r="G6" s="10" t="s">
        <v>71</v>
      </c>
      <c r="H6" s="4" t="s">
        <v>84</v>
      </c>
    </row>
    <row r="7" customFormat="false" ht="23.85" hidden="false" customHeight="false" outlineLevel="0" collapsed="false">
      <c r="A7" s="10" t="s">
        <v>85</v>
      </c>
      <c r="B7" s="10" t="s">
        <v>86</v>
      </c>
      <c r="C7" s="4" t="s">
        <v>87</v>
      </c>
      <c r="D7" s="4" t="s">
        <v>88</v>
      </c>
      <c r="E7" s="4" t="s">
        <v>89</v>
      </c>
      <c r="F7" s="11" t="s">
        <v>70</v>
      </c>
      <c r="G7" s="10" t="s">
        <v>90</v>
      </c>
      <c r="H7" s="4" t="s">
        <v>91</v>
      </c>
    </row>
    <row r="8" customFormat="false" ht="46.25" hidden="false" customHeight="false" outlineLevel="0" collapsed="false">
      <c r="A8" s="10" t="s">
        <v>92</v>
      </c>
      <c r="B8" s="10" t="s">
        <v>93</v>
      </c>
      <c r="C8" s="4" t="s">
        <v>94</v>
      </c>
      <c r="D8" s="4" t="s">
        <v>95</v>
      </c>
      <c r="E8" s="4" t="s">
        <v>96</v>
      </c>
      <c r="F8" s="11" t="s">
        <v>97</v>
      </c>
      <c r="G8" s="10" t="s">
        <v>98</v>
      </c>
      <c r="H8" s="4" t="s">
        <v>99</v>
      </c>
    </row>
    <row r="9" customFormat="false" ht="23.85" hidden="false" customHeight="false" outlineLevel="0" collapsed="false">
      <c r="A9" s="10" t="s">
        <v>100</v>
      </c>
      <c r="B9" s="10" t="s">
        <v>101</v>
      </c>
      <c r="C9" s="4" t="s">
        <v>102</v>
      </c>
      <c r="D9" s="4" t="s">
        <v>103</v>
      </c>
      <c r="E9" s="4" t="s">
        <v>104</v>
      </c>
      <c r="F9" s="11" t="s">
        <v>97</v>
      </c>
      <c r="G9" s="10" t="s">
        <v>78</v>
      </c>
      <c r="H9" s="4" t="s">
        <v>105</v>
      </c>
    </row>
    <row r="10" customFormat="false" ht="35.05" hidden="false" customHeight="false" outlineLevel="0" collapsed="false">
      <c r="A10" s="10" t="s">
        <v>106</v>
      </c>
      <c r="B10" s="10" t="s">
        <v>107</v>
      </c>
      <c r="C10" s="4" t="s">
        <v>108</v>
      </c>
      <c r="D10" s="4" t="s">
        <v>109</v>
      </c>
      <c r="E10" s="4" t="s">
        <v>110</v>
      </c>
      <c r="F10" s="12" t="s">
        <v>111</v>
      </c>
      <c r="G10" s="10" t="s">
        <v>78</v>
      </c>
      <c r="H10" s="4" t="s">
        <v>112</v>
      </c>
    </row>
    <row r="11" customFormat="false" ht="23.85" hidden="false" customHeight="false" outlineLevel="0" collapsed="false">
      <c r="A11" s="10" t="s">
        <v>113</v>
      </c>
      <c r="B11" s="10" t="s">
        <v>114</v>
      </c>
      <c r="C11" s="4" t="s">
        <v>115</v>
      </c>
      <c r="D11" s="4" t="s">
        <v>116</v>
      </c>
      <c r="E11" s="4" t="s">
        <v>117</v>
      </c>
      <c r="F11" s="10" t="s">
        <v>118</v>
      </c>
      <c r="G11" s="10" t="s">
        <v>90</v>
      </c>
      <c r="H11" s="4" t="s">
        <v>119</v>
      </c>
    </row>
    <row r="12" customFormat="false" ht="23.85" hidden="false" customHeight="false" outlineLevel="0" collapsed="false">
      <c r="A12" s="10" t="s">
        <v>120</v>
      </c>
      <c r="B12" s="10" t="s">
        <v>121</v>
      </c>
      <c r="C12" s="4" t="s">
        <v>122</v>
      </c>
      <c r="D12" s="4" t="s">
        <v>123</v>
      </c>
      <c r="E12" s="4" t="s">
        <v>124</v>
      </c>
      <c r="F12" s="10" t="s">
        <v>118</v>
      </c>
      <c r="G12" s="10" t="s">
        <v>98</v>
      </c>
      <c r="H12" s="4" t="s">
        <v>125</v>
      </c>
    </row>
    <row r="13" customFormat="false" ht="23.85" hidden="false" customHeight="false" outlineLevel="0" collapsed="false">
      <c r="A13" s="10" t="s">
        <v>126</v>
      </c>
      <c r="B13" s="10" t="s">
        <v>127</v>
      </c>
      <c r="C13" s="4" t="s">
        <v>128</v>
      </c>
      <c r="D13" s="4" t="s">
        <v>129</v>
      </c>
      <c r="E13" s="4" t="s">
        <v>130</v>
      </c>
      <c r="F13" s="10" t="s">
        <v>118</v>
      </c>
      <c r="G13" s="10" t="s">
        <v>98</v>
      </c>
      <c r="H13" s="4" t="s">
        <v>131</v>
      </c>
    </row>
    <row r="14" customFormat="false" ht="23.85" hidden="false" customHeight="false" outlineLevel="0" collapsed="false">
      <c r="A14" s="10" t="s">
        <v>132</v>
      </c>
      <c r="B14" s="10" t="s">
        <v>133</v>
      </c>
      <c r="C14" s="4" t="s">
        <v>134</v>
      </c>
      <c r="D14" s="4" t="s">
        <v>135</v>
      </c>
      <c r="E14" s="4" t="s">
        <v>136</v>
      </c>
      <c r="F14" s="10" t="s">
        <v>118</v>
      </c>
      <c r="G14" s="10" t="s">
        <v>137</v>
      </c>
      <c r="H14" s="4" t="s">
        <v>138</v>
      </c>
    </row>
    <row r="15" customFormat="false" ht="23.85" hidden="false" customHeight="false" outlineLevel="0" collapsed="false">
      <c r="A15" s="10" t="s">
        <v>139</v>
      </c>
      <c r="B15" s="10" t="s">
        <v>140</v>
      </c>
      <c r="C15" s="4" t="s">
        <v>141</v>
      </c>
      <c r="D15" s="4" t="s">
        <v>142</v>
      </c>
      <c r="E15" s="4" t="s">
        <v>143</v>
      </c>
      <c r="F15" s="10" t="s">
        <v>144</v>
      </c>
      <c r="G15" s="10" t="s">
        <v>90</v>
      </c>
      <c r="H15" s="4" t="s">
        <v>145</v>
      </c>
    </row>
    <row r="16" customFormat="false" ht="23.85" hidden="false" customHeight="false" outlineLevel="0" collapsed="false">
      <c r="A16" s="10" t="s">
        <v>146</v>
      </c>
      <c r="B16" s="10" t="s">
        <v>147</v>
      </c>
      <c r="C16" s="4" t="s">
        <v>148</v>
      </c>
      <c r="D16" s="4" t="s">
        <v>149</v>
      </c>
      <c r="E16" s="4" t="s">
        <v>150</v>
      </c>
      <c r="F16" s="11" t="s">
        <v>151</v>
      </c>
      <c r="G16" s="10" t="s">
        <v>78</v>
      </c>
      <c r="H16" s="4" t="s">
        <v>152</v>
      </c>
    </row>
    <row r="17" customFormat="false" ht="23.85" hidden="false" customHeight="false" outlineLevel="0" collapsed="false">
      <c r="A17" s="10" t="s">
        <v>153</v>
      </c>
      <c r="B17" s="10" t="s">
        <v>154</v>
      </c>
      <c r="C17" s="4" t="s">
        <v>155</v>
      </c>
      <c r="D17" s="4" t="s">
        <v>156</v>
      </c>
      <c r="E17" s="4" t="s">
        <v>157</v>
      </c>
      <c r="F17" s="11" t="s">
        <v>151</v>
      </c>
      <c r="G17" s="10" t="s">
        <v>158</v>
      </c>
      <c r="H17" s="4" t="s">
        <v>159</v>
      </c>
    </row>
    <row r="18" customFormat="false" ht="15" hidden="false" customHeight="false" outlineLevel="0" collapsed="false">
      <c r="A18" s="10" t="s">
        <v>160</v>
      </c>
      <c r="B18" s="10" t="s">
        <v>161</v>
      </c>
      <c r="C18" s="4" t="s">
        <v>162</v>
      </c>
      <c r="D18" s="4" t="s">
        <v>116</v>
      </c>
      <c r="E18" s="4" t="s">
        <v>163</v>
      </c>
      <c r="F18" s="10" t="s">
        <v>164</v>
      </c>
      <c r="G18" s="10" t="s">
        <v>98</v>
      </c>
      <c r="H18" s="4" t="s">
        <v>165</v>
      </c>
    </row>
    <row r="19" customFormat="false" ht="23.85" hidden="false" customHeight="false" outlineLevel="0" collapsed="false">
      <c r="A19" s="10" t="s">
        <v>166</v>
      </c>
      <c r="B19" s="10" t="s">
        <v>167</v>
      </c>
      <c r="C19" s="4" t="s">
        <v>168</v>
      </c>
      <c r="D19" s="5" t="s">
        <v>169</v>
      </c>
      <c r="E19" s="4" t="s">
        <v>170</v>
      </c>
      <c r="F19" s="10" t="s">
        <v>118</v>
      </c>
      <c r="G19" s="10" t="s">
        <v>90</v>
      </c>
      <c r="H19" s="4" t="s">
        <v>171</v>
      </c>
    </row>
    <row r="20" customFormat="false" ht="23.85" hidden="false" customHeight="false" outlineLevel="0" collapsed="false">
      <c r="A20" s="10" t="s">
        <v>172</v>
      </c>
      <c r="B20" s="10" t="s">
        <v>173</v>
      </c>
      <c r="C20" s="4" t="s">
        <v>174</v>
      </c>
      <c r="D20" s="4" t="s">
        <v>175</v>
      </c>
      <c r="E20" s="4" t="s">
        <v>176</v>
      </c>
      <c r="F20" s="10" t="s">
        <v>118</v>
      </c>
      <c r="G20" s="10" t="s">
        <v>90</v>
      </c>
      <c r="H20" s="4" t="s">
        <v>177</v>
      </c>
    </row>
    <row r="21" customFormat="false" ht="15" hidden="false" customHeight="false" outlineLevel="0" collapsed="false">
      <c r="A21" s="10" t="s">
        <v>178</v>
      </c>
      <c r="B21" s="10" t="s">
        <v>179</v>
      </c>
      <c r="C21" s="4" t="s">
        <v>180</v>
      </c>
      <c r="D21" s="4" t="s">
        <v>181</v>
      </c>
      <c r="E21" s="4" t="s">
        <v>182</v>
      </c>
      <c r="F21" s="10" t="s">
        <v>164</v>
      </c>
      <c r="G21" s="10" t="s">
        <v>183</v>
      </c>
      <c r="H21" s="4" t="s">
        <v>184</v>
      </c>
    </row>
  </sheetData>
  <autoFilter ref="A3:H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6"/>
    <col collapsed="false" customWidth="true" hidden="false" outlineLevel="0" max="3" min="3" style="0" width="34"/>
    <col collapsed="false" customWidth="true" hidden="false" outlineLevel="0" max="4" min="4" style="0" width="62"/>
    <col collapsed="false" customWidth="true" hidden="false" outlineLevel="0" max="5" min="5" style="0" width="22"/>
  </cols>
  <sheetData>
    <row r="1" customFormat="false" ht="17.35" hidden="false" customHeight="false" outlineLevel="0" collapsed="false">
      <c r="A1" s="1" t="s">
        <v>185</v>
      </c>
    </row>
    <row r="2" customFormat="false" ht="15" hidden="false" customHeight="false" outlineLevel="0" collapsed="false">
      <c r="A2" s="2" t="s">
        <v>186</v>
      </c>
    </row>
    <row r="3" customFormat="false" ht="30" hidden="false" customHeight="true" outlineLevel="0" collapsed="false">
      <c r="A3" s="3" t="s">
        <v>187</v>
      </c>
      <c r="B3" s="3" t="s">
        <v>188</v>
      </c>
      <c r="C3" s="3" t="s">
        <v>189</v>
      </c>
      <c r="D3" s="3" t="s">
        <v>190</v>
      </c>
      <c r="E3" s="3" t="s">
        <v>32</v>
      </c>
    </row>
    <row r="4" customFormat="false" ht="23.85" hidden="false" customHeight="false" outlineLevel="0" collapsed="false">
      <c r="A4" s="4" t="s">
        <v>191</v>
      </c>
      <c r="B4" s="4" t="s">
        <v>192</v>
      </c>
      <c r="C4" s="4" t="s">
        <v>193</v>
      </c>
      <c r="D4" s="4" t="s">
        <v>194</v>
      </c>
      <c r="E4" s="4" t="s">
        <v>195</v>
      </c>
    </row>
    <row r="5" customFormat="false" ht="15" hidden="false" customHeight="false" outlineLevel="0" collapsed="false">
      <c r="A5" s="4" t="s">
        <v>196</v>
      </c>
      <c r="B5" s="4" t="s">
        <v>197</v>
      </c>
      <c r="C5" s="4" t="s">
        <v>198</v>
      </c>
      <c r="D5" s="4" t="s">
        <v>199</v>
      </c>
      <c r="E5" s="4" t="s">
        <v>43</v>
      </c>
    </row>
    <row r="6" customFormat="false" ht="15" hidden="false" customHeight="false" outlineLevel="0" collapsed="false">
      <c r="A6" s="4" t="s">
        <v>200</v>
      </c>
      <c r="B6" s="4" t="s">
        <v>201</v>
      </c>
      <c r="C6" s="4" t="s">
        <v>202</v>
      </c>
      <c r="D6" s="4" t="s">
        <v>203</v>
      </c>
      <c r="E6" s="4" t="s">
        <v>43</v>
      </c>
    </row>
    <row r="7" customFormat="false" ht="15" hidden="false" customHeight="false" outlineLevel="0" collapsed="false">
      <c r="A7" s="4" t="s">
        <v>204</v>
      </c>
      <c r="B7" s="4" t="s">
        <v>205</v>
      </c>
      <c r="C7" s="4" t="s">
        <v>202</v>
      </c>
      <c r="D7" s="4" t="s">
        <v>206</v>
      </c>
      <c r="E7" s="4" t="s">
        <v>43</v>
      </c>
    </row>
    <row r="8" customFormat="false" ht="15" hidden="false" customHeight="false" outlineLevel="0" collapsed="false">
      <c r="A8" s="4" t="s">
        <v>207</v>
      </c>
      <c r="B8" s="4" t="s">
        <v>208</v>
      </c>
      <c r="C8" s="4" t="s">
        <v>209</v>
      </c>
      <c r="D8" s="4" t="s">
        <v>210</v>
      </c>
      <c r="E8" s="4" t="s">
        <v>43</v>
      </c>
    </row>
    <row r="9" customFormat="false" ht="15" hidden="false" customHeight="false" outlineLevel="0" collapsed="false">
      <c r="A9" s="4" t="s">
        <v>211</v>
      </c>
      <c r="B9" s="4" t="s">
        <v>212</v>
      </c>
      <c r="C9" s="4" t="s">
        <v>202</v>
      </c>
      <c r="D9" s="4" t="s">
        <v>213</v>
      </c>
      <c r="E9" s="4" t="s">
        <v>43</v>
      </c>
    </row>
    <row r="10" customFormat="false" ht="35.05" hidden="false" customHeight="false" outlineLevel="0" collapsed="false">
      <c r="A10" s="4" t="s">
        <v>214</v>
      </c>
      <c r="B10" s="4" t="s">
        <v>215</v>
      </c>
      <c r="C10" s="4" t="s">
        <v>198</v>
      </c>
      <c r="D10" s="4" t="s">
        <v>216</v>
      </c>
      <c r="E10" s="4" t="s">
        <v>43</v>
      </c>
    </row>
    <row r="11" customFormat="false" ht="15" hidden="false" customHeight="false" outlineLevel="0" collapsed="false">
      <c r="A11" s="4" t="s">
        <v>217</v>
      </c>
      <c r="B11" s="4" t="s">
        <v>218</v>
      </c>
      <c r="C11" s="4" t="s">
        <v>202</v>
      </c>
      <c r="D11" s="4" t="s">
        <v>219</v>
      </c>
      <c r="E11" s="4" t="s">
        <v>43</v>
      </c>
    </row>
    <row r="12" customFormat="false" ht="35.05" hidden="false" customHeight="false" outlineLevel="0" collapsed="false">
      <c r="A12" s="4" t="s">
        <v>220</v>
      </c>
      <c r="B12" s="4" t="s">
        <v>221</v>
      </c>
      <c r="C12" s="4" t="s">
        <v>198</v>
      </c>
      <c r="D12" s="4" t="s">
        <v>222</v>
      </c>
      <c r="E12" s="4" t="s">
        <v>43</v>
      </c>
    </row>
    <row r="13" customFormat="false" ht="15" hidden="false" customHeight="false" outlineLevel="0" collapsed="false">
      <c r="A13" s="4" t="s">
        <v>223</v>
      </c>
      <c r="B13" s="4" t="s">
        <v>224</v>
      </c>
      <c r="C13" s="4" t="s">
        <v>198</v>
      </c>
      <c r="D13" s="4" t="s">
        <v>225</v>
      </c>
      <c r="E13" s="4" t="s">
        <v>43</v>
      </c>
    </row>
    <row r="14" customFormat="false" ht="15" hidden="false" customHeight="false" outlineLevel="0" collapsed="false">
      <c r="A14" s="4" t="s">
        <v>226</v>
      </c>
      <c r="B14" s="4" t="s">
        <v>227</v>
      </c>
      <c r="C14" s="4" t="s">
        <v>202</v>
      </c>
      <c r="D14" s="4" t="s">
        <v>228</v>
      </c>
      <c r="E14" s="4" t="s">
        <v>43</v>
      </c>
    </row>
    <row r="15" customFormat="false" ht="15" hidden="false" customHeight="false" outlineLevel="0" collapsed="false">
      <c r="A15" s="4" t="s">
        <v>229</v>
      </c>
      <c r="B15" s="4" t="s">
        <v>230</v>
      </c>
      <c r="C15" s="4" t="s">
        <v>231</v>
      </c>
      <c r="D15" s="4" t="s">
        <v>232</v>
      </c>
      <c r="E15" s="4" t="s">
        <v>43</v>
      </c>
    </row>
    <row r="16" customFormat="false" ht="15" hidden="false" customHeight="false" outlineLevel="0" collapsed="false">
      <c r="A16" s="4" t="s">
        <v>233</v>
      </c>
      <c r="B16" s="4" t="s">
        <v>234</v>
      </c>
      <c r="C16" s="4" t="s">
        <v>198</v>
      </c>
      <c r="D16" s="4" t="s">
        <v>235</v>
      </c>
      <c r="E16" s="4" t="s">
        <v>43</v>
      </c>
    </row>
    <row r="17" customFormat="false" ht="15" hidden="false" customHeight="false" outlineLevel="0" collapsed="false">
      <c r="A17" s="4" t="s">
        <v>236</v>
      </c>
      <c r="B17" s="4" t="s">
        <v>237</v>
      </c>
      <c r="C17" s="4" t="s">
        <v>238</v>
      </c>
      <c r="D17" s="4" t="s">
        <v>239</v>
      </c>
      <c r="E17" s="4" t="s">
        <v>43</v>
      </c>
    </row>
    <row r="18" customFormat="false" ht="35.05" hidden="false" customHeight="false" outlineLevel="0" collapsed="false">
      <c r="A18" s="4" t="s">
        <v>240</v>
      </c>
      <c r="B18" s="4" t="s">
        <v>241</v>
      </c>
      <c r="C18" s="4" t="s">
        <v>202</v>
      </c>
      <c r="D18" s="4" t="s">
        <v>242</v>
      </c>
      <c r="E18" s="4" t="s">
        <v>43</v>
      </c>
    </row>
    <row r="19" customFormat="false" ht="15" hidden="false" customHeight="false" outlineLevel="0" collapsed="false">
      <c r="A19" s="4" t="s">
        <v>243</v>
      </c>
      <c r="B19" s="4" t="s">
        <v>244</v>
      </c>
      <c r="C19" s="4" t="s">
        <v>245</v>
      </c>
      <c r="D19" s="4" t="s">
        <v>246</v>
      </c>
      <c r="E19" s="4" t="s">
        <v>43</v>
      </c>
    </row>
    <row r="20" customFormat="false" ht="15" hidden="false" customHeight="false" outlineLevel="0" collapsed="false">
      <c r="A20" s="4" t="s">
        <v>247</v>
      </c>
      <c r="B20" s="4" t="s">
        <v>248</v>
      </c>
      <c r="C20" s="4" t="s">
        <v>249</v>
      </c>
      <c r="D20" s="4" t="s">
        <v>250</v>
      </c>
      <c r="E20" s="4" t="s">
        <v>43</v>
      </c>
    </row>
    <row r="21" customFormat="false" ht="15" hidden="false" customHeight="false" outlineLevel="0" collapsed="false">
      <c r="A21" s="4" t="s">
        <v>251</v>
      </c>
      <c r="B21" s="4" t="s">
        <v>252</v>
      </c>
      <c r="C21" s="4" t="s">
        <v>202</v>
      </c>
      <c r="D21" s="4" t="s">
        <v>253</v>
      </c>
      <c r="E21" s="4" t="s">
        <v>43</v>
      </c>
    </row>
    <row r="22" customFormat="false" ht="15" hidden="false" customHeight="false" outlineLevel="0" collapsed="false">
      <c r="A22" s="4" t="s">
        <v>254</v>
      </c>
      <c r="B22" s="4" t="s">
        <v>255</v>
      </c>
      <c r="C22" s="4" t="s">
        <v>256</v>
      </c>
      <c r="D22" s="4" t="s">
        <v>257</v>
      </c>
      <c r="E22" s="4" t="s">
        <v>43</v>
      </c>
    </row>
    <row r="23" customFormat="false" ht="15" hidden="false" customHeight="false" outlineLevel="0" collapsed="false">
      <c r="A23" s="4" t="s">
        <v>258</v>
      </c>
      <c r="B23" s="4" t="s">
        <v>259</v>
      </c>
      <c r="C23" s="4" t="s">
        <v>202</v>
      </c>
      <c r="D23" s="4" t="s">
        <v>260</v>
      </c>
      <c r="E23" s="4" t="s">
        <v>43</v>
      </c>
    </row>
    <row r="24" customFormat="false" ht="23.85" hidden="false" customHeight="false" outlineLevel="0" collapsed="false">
      <c r="A24" s="4" t="s">
        <v>261</v>
      </c>
      <c r="B24" s="4" t="s">
        <v>262</v>
      </c>
      <c r="C24" s="4" t="s">
        <v>245</v>
      </c>
      <c r="D24" s="4" t="s">
        <v>263</v>
      </c>
      <c r="E24" s="4" t="s">
        <v>43</v>
      </c>
    </row>
    <row r="25" customFormat="false" ht="35.05" hidden="false" customHeight="false" outlineLevel="0" collapsed="false">
      <c r="A25" s="4" t="s">
        <v>264</v>
      </c>
      <c r="B25" s="4" t="s">
        <v>265</v>
      </c>
      <c r="C25" s="4" t="s">
        <v>266</v>
      </c>
      <c r="D25" s="4" t="s">
        <v>267</v>
      </c>
      <c r="E25" s="4" t="s">
        <v>43</v>
      </c>
    </row>
    <row r="26" customFormat="false" ht="23.85" hidden="false" customHeight="false" outlineLevel="0" collapsed="false">
      <c r="A26" s="4" t="s">
        <v>268</v>
      </c>
      <c r="B26" s="4" t="s">
        <v>269</v>
      </c>
      <c r="C26" s="4" t="s">
        <v>270</v>
      </c>
      <c r="D26" s="4" t="s">
        <v>271</v>
      </c>
      <c r="E26" s="4" t="s">
        <v>43</v>
      </c>
    </row>
    <row r="27" customFormat="false" ht="35.05" hidden="false" customHeight="false" outlineLevel="0" collapsed="false">
      <c r="A27" s="4" t="s">
        <v>272</v>
      </c>
      <c r="B27" s="4" t="s">
        <v>273</v>
      </c>
      <c r="C27" s="4" t="s">
        <v>274</v>
      </c>
      <c r="D27" s="4" t="s">
        <v>275</v>
      </c>
      <c r="E27" s="4" t="s">
        <v>43</v>
      </c>
    </row>
    <row r="28" customFormat="false" ht="46.25" hidden="false" customHeight="false" outlineLevel="0" collapsed="false">
      <c r="A28" s="4" t="s">
        <v>276</v>
      </c>
      <c r="B28" s="4" t="s">
        <v>277</v>
      </c>
      <c r="C28" s="4" t="s">
        <v>278</v>
      </c>
      <c r="D28" s="4" t="s">
        <v>279</v>
      </c>
      <c r="E28" s="4" t="s">
        <v>43</v>
      </c>
    </row>
    <row r="29" customFormat="false" ht="23.85" hidden="false" customHeight="false" outlineLevel="0" collapsed="false">
      <c r="A29" s="4" t="s">
        <v>280</v>
      </c>
      <c r="B29" s="4" t="s">
        <v>281</v>
      </c>
      <c r="C29" s="4" t="s">
        <v>245</v>
      </c>
      <c r="D29" s="4" t="s">
        <v>282</v>
      </c>
      <c r="E29" s="4" t="s">
        <v>43</v>
      </c>
    </row>
  </sheetData>
  <autoFilter ref="A3:E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40"/>
    <col collapsed="false" customWidth="true" hidden="false" outlineLevel="0" max="4" min="3" style="0" width="9"/>
    <col collapsed="false" customWidth="true" hidden="false" outlineLevel="0" max="5" min="5" style="0" width="76"/>
    <col collapsed="false" customWidth="true" hidden="false" outlineLevel="0" max="6" min="6" style="0" width="62"/>
    <col collapsed="false" customWidth="true" hidden="false" outlineLevel="0" max="7" min="7" style="0" width="18"/>
  </cols>
  <sheetData>
    <row r="1" customFormat="false" ht="17.35" hidden="false" customHeight="false" outlineLevel="0" collapsed="false">
      <c r="A1" s="1" t="s">
        <v>283</v>
      </c>
    </row>
    <row r="2" customFormat="false" ht="15" hidden="false" customHeight="false" outlineLevel="0" collapsed="false">
      <c r="A2" s="2" t="s">
        <v>284</v>
      </c>
    </row>
    <row r="3" customFormat="false" ht="30" hidden="false" customHeight="true" outlineLevel="0" collapsed="false">
      <c r="A3" s="3" t="s">
        <v>285</v>
      </c>
      <c r="B3" s="3" t="s">
        <v>286</v>
      </c>
      <c r="C3" s="3" t="s">
        <v>287</v>
      </c>
      <c r="D3" s="3" t="s">
        <v>288</v>
      </c>
      <c r="E3" s="3" t="s">
        <v>289</v>
      </c>
      <c r="F3" s="3" t="s">
        <v>290</v>
      </c>
      <c r="G3" s="3" t="s">
        <v>32</v>
      </c>
    </row>
    <row r="4" customFormat="false" ht="35.05" hidden="false" customHeight="false" outlineLevel="0" collapsed="false">
      <c r="A4" s="10" t="s">
        <v>291</v>
      </c>
      <c r="B4" s="10" t="s">
        <v>292</v>
      </c>
      <c r="C4" s="10" t="s">
        <v>293</v>
      </c>
      <c r="D4" s="10" t="s">
        <v>294</v>
      </c>
      <c r="E4" s="4" t="s">
        <v>295</v>
      </c>
      <c r="F4" s="4" t="s">
        <v>296</v>
      </c>
      <c r="G4" s="10" t="s">
        <v>43</v>
      </c>
    </row>
    <row r="5" customFormat="false" ht="23.85" hidden="false" customHeight="false" outlineLevel="0" collapsed="false">
      <c r="A5" s="10" t="s">
        <v>297</v>
      </c>
      <c r="B5" s="10" t="s">
        <v>298</v>
      </c>
      <c r="C5" s="10" t="s">
        <v>299</v>
      </c>
      <c r="D5" s="10" t="s">
        <v>300</v>
      </c>
      <c r="E5" s="4" t="s">
        <v>301</v>
      </c>
      <c r="F5" s="4" t="s">
        <v>302</v>
      </c>
      <c r="G5" s="10" t="s">
        <v>43</v>
      </c>
    </row>
    <row r="6" customFormat="false" ht="35.05" hidden="false" customHeight="false" outlineLevel="0" collapsed="false">
      <c r="A6" s="10" t="s">
        <v>303</v>
      </c>
      <c r="B6" s="10" t="s">
        <v>304</v>
      </c>
      <c r="C6" s="10" t="s">
        <v>305</v>
      </c>
      <c r="D6" s="10" t="s">
        <v>306</v>
      </c>
      <c r="E6" s="4" t="s">
        <v>307</v>
      </c>
      <c r="F6" s="4" t="s">
        <v>308</v>
      </c>
      <c r="G6" s="10" t="s">
        <v>43</v>
      </c>
    </row>
    <row r="7" customFormat="false" ht="23.85" hidden="false" customHeight="false" outlineLevel="0" collapsed="false">
      <c r="A7" s="10" t="s">
        <v>309</v>
      </c>
      <c r="B7" s="10" t="s">
        <v>310</v>
      </c>
      <c r="C7" s="10" t="s">
        <v>311</v>
      </c>
      <c r="D7" s="10" t="s">
        <v>312</v>
      </c>
      <c r="E7" s="4" t="s">
        <v>313</v>
      </c>
      <c r="F7" s="4" t="s">
        <v>314</v>
      </c>
      <c r="G7" s="10" t="s">
        <v>43</v>
      </c>
    </row>
    <row r="8" customFormat="false" ht="35.05" hidden="false" customHeight="false" outlineLevel="0" collapsed="false">
      <c r="A8" s="10" t="s">
        <v>315</v>
      </c>
      <c r="B8" s="10" t="s">
        <v>316</v>
      </c>
      <c r="C8" s="10" t="s">
        <v>317</v>
      </c>
      <c r="D8" s="10" t="s">
        <v>318</v>
      </c>
      <c r="E8" s="4" t="s">
        <v>319</v>
      </c>
      <c r="F8" s="4" t="s">
        <v>320</v>
      </c>
      <c r="G8" s="10" t="s">
        <v>43</v>
      </c>
    </row>
    <row r="9" customFormat="false" ht="23.85" hidden="false" customHeight="false" outlineLevel="0" collapsed="false">
      <c r="A9" s="10" t="s">
        <v>321</v>
      </c>
      <c r="B9" s="10" t="s">
        <v>322</v>
      </c>
      <c r="C9" s="10" t="s">
        <v>323</v>
      </c>
      <c r="D9" s="10" t="s">
        <v>324</v>
      </c>
      <c r="E9" s="4" t="s">
        <v>325</v>
      </c>
      <c r="F9" s="4" t="s">
        <v>326</v>
      </c>
      <c r="G9" s="10" t="s">
        <v>43</v>
      </c>
    </row>
  </sheetData>
  <autoFilter ref="A3:G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H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3" min="3" style="0" width="34"/>
    <col collapsed="false" customWidth="true" hidden="false" outlineLevel="0" max="4" min="4" style="0" width="20"/>
    <col collapsed="false" customWidth="true" hidden="false" outlineLevel="0" max="5" min="5" style="0" width="13"/>
    <col collapsed="false" customWidth="true" hidden="false" outlineLevel="0" max="6" min="6" style="0" width="10"/>
    <col collapsed="false" customWidth="true" hidden="false" outlineLevel="0" max="7" min="7" style="0" width="11"/>
    <col collapsed="false" customWidth="true" hidden="false" outlineLevel="0" max="8" min="8" style="0" width="62"/>
  </cols>
  <sheetData>
    <row r="1" customFormat="false" ht="17.35" hidden="false" customHeight="false" outlineLevel="0" collapsed="false">
      <c r="A1" s="1" t="s">
        <v>327</v>
      </c>
    </row>
    <row r="2" customFormat="false" ht="15" hidden="false" customHeight="false" outlineLevel="0" collapsed="false">
      <c r="A2" s="2" t="s">
        <v>328</v>
      </c>
    </row>
    <row r="3" customFormat="false" ht="30" hidden="false" customHeight="true" outlineLevel="0" collapsed="false">
      <c r="A3" s="3" t="s">
        <v>329</v>
      </c>
      <c r="B3" s="3" t="s">
        <v>330</v>
      </c>
      <c r="C3" s="3" t="s">
        <v>188</v>
      </c>
      <c r="D3" s="3" t="s">
        <v>331</v>
      </c>
      <c r="E3" s="3" t="s">
        <v>107</v>
      </c>
      <c r="F3" s="3" t="s">
        <v>332</v>
      </c>
      <c r="G3" s="3" t="s">
        <v>333</v>
      </c>
      <c r="H3" s="3" t="s">
        <v>334</v>
      </c>
    </row>
    <row r="4" customFormat="false" ht="15" hidden="false" customHeight="false" outlineLevel="0" collapsed="false">
      <c r="A4" s="4" t="s">
        <v>335</v>
      </c>
      <c r="B4" s="4" t="s">
        <v>245</v>
      </c>
      <c r="C4" s="4" t="s">
        <v>336</v>
      </c>
      <c r="D4" s="10" t="s">
        <v>337</v>
      </c>
      <c r="E4" s="10" t="s">
        <v>118</v>
      </c>
      <c r="F4" s="10" t="s">
        <v>118</v>
      </c>
      <c r="G4" s="13" t="s">
        <v>338</v>
      </c>
      <c r="H4" s="4" t="s">
        <v>339</v>
      </c>
    </row>
    <row r="5" customFormat="false" ht="23.85" hidden="false" customHeight="false" outlineLevel="0" collapsed="false">
      <c r="A5" s="4" t="s">
        <v>340</v>
      </c>
      <c r="B5" s="4" t="s">
        <v>245</v>
      </c>
      <c r="C5" s="4" t="s">
        <v>341</v>
      </c>
      <c r="D5" s="10" t="s">
        <v>342</v>
      </c>
      <c r="E5" s="10" t="s">
        <v>118</v>
      </c>
      <c r="F5" s="10" t="s">
        <v>164</v>
      </c>
      <c r="G5" s="10" t="s">
        <v>343</v>
      </c>
      <c r="H5" s="4" t="s">
        <v>344</v>
      </c>
    </row>
    <row r="6" customFormat="false" ht="23.85" hidden="false" customHeight="false" outlineLevel="0" collapsed="false">
      <c r="A6" s="4" t="s">
        <v>345</v>
      </c>
      <c r="B6" s="4" t="s">
        <v>245</v>
      </c>
      <c r="C6" s="4" t="s">
        <v>346</v>
      </c>
      <c r="D6" s="10" t="s">
        <v>347</v>
      </c>
      <c r="E6" s="10" t="s">
        <v>118</v>
      </c>
      <c r="F6" s="10" t="s">
        <v>164</v>
      </c>
      <c r="G6" s="10" t="s">
        <v>343</v>
      </c>
      <c r="H6" s="4" t="s">
        <v>348</v>
      </c>
    </row>
    <row r="7" customFormat="false" ht="23.85" hidden="false" customHeight="false" outlineLevel="0" collapsed="false">
      <c r="A7" s="4" t="s">
        <v>349</v>
      </c>
      <c r="B7" s="4" t="s">
        <v>245</v>
      </c>
      <c r="C7" s="4" t="s">
        <v>350</v>
      </c>
      <c r="D7" s="10" t="s">
        <v>140</v>
      </c>
      <c r="E7" s="10" t="s">
        <v>164</v>
      </c>
      <c r="F7" s="10" t="s">
        <v>351</v>
      </c>
      <c r="G7" s="13" t="s">
        <v>338</v>
      </c>
      <c r="H7" s="4" t="s">
        <v>352</v>
      </c>
    </row>
    <row r="8" customFormat="false" ht="15" hidden="false" customHeight="false" outlineLevel="0" collapsed="false">
      <c r="A8" s="4" t="s">
        <v>353</v>
      </c>
      <c r="B8" s="4" t="s">
        <v>354</v>
      </c>
      <c r="C8" s="4" t="s">
        <v>355</v>
      </c>
      <c r="D8" s="10" t="s">
        <v>356</v>
      </c>
      <c r="E8" s="10" t="s">
        <v>164</v>
      </c>
      <c r="F8" s="10" t="s">
        <v>351</v>
      </c>
      <c r="G8" s="13" t="s">
        <v>338</v>
      </c>
      <c r="H8" s="4" t="s">
        <v>357</v>
      </c>
    </row>
    <row r="9" customFormat="false" ht="23.85" hidden="false" customHeight="false" outlineLevel="0" collapsed="false">
      <c r="A9" s="4" t="s">
        <v>358</v>
      </c>
      <c r="B9" s="4" t="s">
        <v>359</v>
      </c>
      <c r="C9" s="4" t="s">
        <v>360</v>
      </c>
      <c r="D9" s="10" t="s">
        <v>361</v>
      </c>
      <c r="E9" s="10" t="s">
        <v>164</v>
      </c>
      <c r="F9" s="10" t="s">
        <v>164</v>
      </c>
      <c r="G9" s="10" t="s">
        <v>343</v>
      </c>
      <c r="H9" s="4" t="s">
        <v>362</v>
      </c>
    </row>
    <row r="10" customFormat="false" ht="15" hidden="false" customHeight="false" outlineLevel="0" collapsed="false">
      <c r="A10" s="4" t="s">
        <v>363</v>
      </c>
      <c r="B10" s="4" t="s">
        <v>364</v>
      </c>
      <c r="C10" s="4" t="s">
        <v>365</v>
      </c>
      <c r="D10" s="10" t="s">
        <v>366</v>
      </c>
      <c r="E10" s="10" t="s">
        <v>164</v>
      </c>
      <c r="F10" s="10" t="s">
        <v>351</v>
      </c>
      <c r="G10" s="13" t="s">
        <v>338</v>
      </c>
      <c r="H10" s="4" t="s">
        <v>367</v>
      </c>
    </row>
    <row r="11" customFormat="false" ht="23.85" hidden="false" customHeight="false" outlineLevel="0" collapsed="false">
      <c r="A11" s="4" t="s">
        <v>368</v>
      </c>
      <c r="B11" s="4" t="s">
        <v>245</v>
      </c>
      <c r="C11" s="4" t="s">
        <v>369</v>
      </c>
      <c r="D11" s="10" t="s">
        <v>370</v>
      </c>
      <c r="E11" s="10" t="s">
        <v>97</v>
      </c>
      <c r="F11" s="10" t="s">
        <v>118</v>
      </c>
      <c r="G11" s="13" t="s">
        <v>371</v>
      </c>
      <c r="H11" s="4" t="s">
        <v>372</v>
      </c>
    </row>
    <row r="12" customFormat="false" ht="23.85" hidden="false" customHeight="false" outlineLevel="0" collapsed="false">
      <c r="A12" s="4" t="s">
        <v>373</v>
      </c>
      <c r="B12" s="4" t="s">
        <v>374</v>
      </c>
      <c r="C12" s="4" t="s">
        <v>375</v>
      </c>
      <c r="D12" s="10" t="s">
        <v>66</v>
      </c>
      <c r="E12" s="10" t="s">
        <v>118</v>
      </c>
      <c r="F12" s="10" t="s">
        <v>351</v>
      </c>
      <c r="G12" s="13" t="s">
        <v>338</v>
      </c>
      <c r="H12" s="4" t="s">
        <v>376</v>
      </c>
    </row>
    <row r="13" customFormat="false" ht="15" hidden="false" customHeight="false" outlineLevel="0" collapsed="false">
      <c r="A13" s="4" t="s">
        <v>377</v>
      </c>
      <c r="B13" s="4" t="s">
        <v>378</v>
      </c>
      <c r="C13" s="4" t="s">
        <v>379</v>
      </c>
      <c r="D13" s="10" t="s">
        <v>380</v>
      </c>
      <c r="E13" s="10" t="s">
        <v>118</v>
      </c>
      <c r="F13" s="10" t="s">
        <v>164</v>
      </c>
      <c r="G13" s="13" t="s">
        <v>338</v>
      </c>
      <c r="H13" s="4" t="s">
        <v>381</v>
      </c>
    </row>
    <row r="14" customFormat="false" ht="15" hidden="false" customHeight="false" outlineLevel="0" collapsed="false">
      <c r="A14" s="4" t="s">
        <v>382</v>
      </c>
      <c r="B14" s="4" t="s">
        <v>383</v>
      </c>
      <c r="C14" s="4" t="s">
        <v>384</v>
      </c>
      <c r="D14" s="10" t="s">
        <v>380</v>
      </c>
      <c r="E14" s="10" t="s">
        <v>164</v>
      </c>
      <c r="F14" s="10" t="s">
        <v>351</v>
      </c>
      <c r="G14" s="13" t="s">
        <v>338</v>
      </c>
      <c r="H14" s="4" t="s">
        <v>385</v>
      </c>
    </row>
    <row r="15" customFormat="false" ht="23.85" hidden="false" customHeight="false" outlineLevel="0" collapsed="false">
      <c r="A15" s="4" t="s">
        <v>386</v>
      </c>
      <c r="B15" s="4" t="s">
        <v>245</v>
      </c>
      <c r="C15" s="4" t="s">
        <v>387</v>
      </c>
      <c r="D15" s="10" t="s">
        <v>98</v>
      </c>
      <c r="E15" s="10" t="s">
        <v>118</v>
      </c>
      <c r="F15" s="10" t="s">
        <v>164</v>
      </c>
      <c r="G15" s="10" t="s">
        <v>343</v>
      </c>
      <c r="H15" s="4" t="s">
        <v>388</v>
      </c>
    </row>
    <row r="16" customFormat="false" ht="23.85" hidden="false" customHeight="false" outlineLevel="0" collapsed="false">
      <c r="A16" s="4" t="s">
        <v>389</v>
      </c>
      <c r="B16" s="4" t="s">
        <v>245</v>
      </c>
      <c r="C16" s="4" t="s">
        <v>390</v>
      </c>
      <c r="D16" s="10" t="s">
        <v>98</v>
      </c>
      <c r="E16" s="10" t="s">
        <v>118</v>
      </c>
      <c r="F16" s="10" t="s">
        <v>164</v>
      </c>
      <c r="G16" s="10" t="s">
        <v>343</v>
      </c>
      <c r="H16" s="4" t="s">
        <v>391</v>
      </c>
    </row>
    <row r="17" customFormat="false" ht="23.85" hidden="false" customHeight="false" outlineLevel="0" collapsed="false">
      <c r="A17" s="4" t="s">
        <v>392</v>
      </c>
      <c r="B17" s="4" t="s">
        <v>359</v>
      </c>
      <c r="C17" s="4" t="s">
        <v>393</v>
      </c>
      <c r="D17" s="10" t="s">
        <v>394</v>
      </c>
      <c r="E17" s="10" t="s">
        <v>118</v>
      </c>
      <c r="F17" s="10" t="s">
        <v>351</v>
      </c>
      <c r="G17" s="13" t="s">
        <v>338</v>
      </c>
      <c r="H17" s="4" t="s">
        <v>395</v>
      </c>
    </row>
    <row r="18" customFormat="false" ht="23.85" hidden="false" customHeight="false" outlineLevel="0" collapsed="false">
      <c r="A18" s="4" t="s">
        <v>396</v>
      </c>
      <c r="B18" s="4" t="s">
        <v>245</v>
      </c>
      <c r="C18" s="4" t="s">
        <v>397</v>
      </c>
      <c r="D18" s="10" t="s">
        <v>398</v>
      </c>
      <c r="E18" s="10" t="s">
        <v>164</v>
      </c>
      <c r="F18" s="10" t="s">
        <v>118</v>
      </c>
      <c r="G18" s="10" t="s">
        <v>399</v>
      </c>
      <c r="H18" s="4" t="s">
        <v>400</v>
      </c>
    </row>
    <row r="19" customFormat="false" ht="23.85" hidden="false" customHeight="false" outlineLevel="0" collapsed="false">
      <c r="A19" s="4" t="s">
        <v>401</v>
      </c>
      <c r="B19" s="4" t="s">
        <v>402</v>
      </c>
      <c r="C19" s="4" t="s">
        <v>403</v>
      </c>
      <c r="D19" s="10" t="s">
        <v>404</v>
      </c>
      <c r="E19" s="10" t="s">
        <v>118</v>
      </c>
      <c r="F19" s="10" t="s">
        <v>164</v>
      </c>
      <c r="G19" s="10" t="s">
        <v>343</v>
      </c>
      <c r="H19" s="4" t="s">
        <v>405</v>
      </c>
    </row>
    <row r="20" customFormat="false" ht="23.85" hidden="false" customHeight="false" outlineLevel="0" collapsed="false">
      <c r="A20" s="4" t="s">
        <v>406</v>
      </c>
      <c r="B20" s="4" t="s">
        <v>245</v>
      </c>
      <c r="C20" s="4" t="s">
        <v>407</v>
      </c>
      <c r="D20" s="10" t="s">
        <v>404</v>
      </c>
      <c r="E20" s="10" t="s">
        <v>118</v>
      </c>
      <c r="F20" s="10" t="s">
        <v>351</v>
      </c>
      <c r="G20" s="10" t="s">
        <v>343</v>
      </c>
      <c r="H20" s="4" t="s">
        <v>408</v>
      </c>
    </row>
    <row r="21" customFormat="false" ht="23.85" hidden="false" customHeight="false" outlineLevel="0" collapsed="false">
      <c r="A21" s="4" t="s">
        <v>409</v>
      </c>
      <c r="B21" s="4" t="s">
        <v>245</v>
      </c>
      <c r="C21" s="4" t="s">
        <v>410</v>
      </c>
      <c r="D21" s="10" t="s">
        <v>411</v>
      </c>
      <c r="E21" s="10" t="s">
        <v>118</v>
      </c>
      <c r="F21" s="10" t="s">
        <v>118</v>
      </c>
      <c r="G21" s="10" t="s">
        <v>399</v>
      </c>
      <c r="H21" s="4" t="s">
        <v>412</v>
      </c>
    </row>
    <row r="22" customFormat="false" ht="23.85" hidden="false" customHeight="false" outlineLevel="0" collapsed="false">
      <c r="A22" s="4" t="s">
        <v>413</v>
      </c>
      <c r="B22" s="4" t="s">
        <v>414</v>
      </c>
      <c r="C22" s="4" t="s">
        <v>415</v>
      </c>
      <c r="D22" s="10" t="s">
        <v>337</v>
      </c>
      <c r="E22" s="10" t="s">
        <v>351</v>
      </c>
      <c r="F22" s="10" t="s">
        <v>164</v>
      </c>
      <c r="G22" s="10" t="s">
        <v>399</v>
      </c>
      <c r="H22" s="4" t="s">
        <v>416</v>
      </c>
    </row>
    <row r="23" customFormat="false" ht="15" hidden="false" customHeight="false" outlineLevel="0" collapsed="false">
      <c r="A23" s="4" t="s">
        <v>417</v>
      </c>
      <c r="B23" s="4" t="s">
        <v>245</v>
      </c>
      <c r="C23" s="4" t="s">
        <v>418</v>
      </c>
      <c r="D23" s="10" t="s">
        <v>140</v>
      </c>
      <c r="E23" s="10" t="s">
        <v>202</v>
      </c>
      <c r="F23" s="10" t="s">
        <v>202</v>
      </c>
      <c r="G23" s="14" t="s">
        <v>419</v>
      </c>
      <c r="H23" s="4" t="s">
        <v>420</v>
      </c>
    </row>
  </sheetData>
  <autoFilter ref="A3:H2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D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3" min="3" style="0" width="52"/>
    <col collapsed="false" customWidth="true" hidden="false" outlineLevel="0" max="4" min="4" style="0" width="70"/>
  </cols>
  <sheetData>
    <row r="1" customFormat="false" ht="17.35" hidden="false" customHeight="false" outlineLevel="0" collapsed="false">
      <c r="A1" s="1" t="s">
        <v>421</v>
      </c>
    </row>
    <row r="2" customFormat="false" ht="15" hidden="false" customHeight="false" outlineLevel="0" collapsed="false">
      <c r="A2" s="2" t="s">
        <v>422</v>
      </c>
    </row>
    <row r="4" customFormat="false" ht="15" hidden="false" customHeight="false" outlineLevel="0" collapsed="false">
      <c r="A4" s="15" t="s">
        <v>423</v>
      </c>
      <c r="B4" s="15" t="s">
        <v>424</v>
      </c>
      <c r="C4" s="15" t="s">
        <v>425</v>
      </c>
    </row>
    <row r="5" customFormat="false" ht="15" hidden="false" customHeight="false" outlineLevel="0" collapsed="false">
      <c r="A5" s="16" t="s">
        <v>426</v>
      </c>
      <c r="B5" s="17" t="n">
        <v>0.35</v>
      </c>
      <c r="C5" s="4" t="s">
        <v>427</v>
      </c>
    </row>
    <row r="6" customFormat="false" ht="15" hidden="false" customHeight="false" outlineLevel="0" collapsed="false">
      <c r="A6" s="16" t="s">
        <v>428</v>
      </c>
      <c r="B6" s="17" t="n">
        <v>0.3</v>
      </c>
      <c r="C6" s="4" t="s">
        <v>429</v>
      </c>
    </row>
    <row r="7" customFormat="false" ht="15" hidden="false" customHeight="false" outlineLevel="0" collapsed="false">
      <c r="A7" s="16" t="s">
        <v>430</v>
      </c>
      <c r="B7" s="17" t="n">
        <v>0.2</v>
      </c>
      <c r="C7" s="4" t="s">
        <v>431</v>
      </c>
    </row>
    <row r="8" customFormat="false" ht="15" hidden="false" customHeight="false" outlineLevel="0" collapsed="false">
      <c r="A8" s="16" t="s">
        <v>432</v>
      </c>
      <c r="B8" s="17" t="n">
        <v>0.15</v>
      </c>
      <c r="C8" s="4" t="s">
        <v>433</v>
      </c>
    </row>
    <row r="9" customFormat="false" ht="15" hidden="false" customHeight="false" outlineLevel="0" collapsed="false">
      <c r="A9" s="6" t="s">
        <v>434</v>
      </c>
      <c r="B9" s="18" t="n">
        <f aca="false">SUM(B5:B8)</f>
        <v>1</v>
      </c>
      <c r="C9" s="2" t="s">
        <v>435</v>
      </c>
    </row>
    <row r="12" customFormat="false" ht="15" hidden="false" customHeight="false" outlineLevel="0" collapsed="false">
      <c r="A12" s="6" t="s">
        <v>436</v>
      </c>
    </row>
    <row r="13" customFormat="false" ht="15" hidden="false" customHeight="false" outlineLevel="0" collapsed="false">
      <c r="A13" s="3" t="s">
        <v>437</v>
      </c>
      <c r="B13" s="3" t="s">
        <v>438</v>
      </c>
      <c r="C13" s="3" t="s">
        <v>439</v>
      </c>
      <c r="D13" s="3" t="s">
        <v>440</v>
      </c>
    </row>
    <row r="14" customFormat="false" ht="23.85" hidden="false" customHeight="false" outlineLevel="0" collapsed="false">
      <c r="A14" s="19" t="s">
        <v>441</v>
      </c>
      <c r="B14" s="20" t="n">
        <v>1</v>
      </c>
      <c r="C14" s="4" t="s">
        <v>442</v>
      </c>
      <c r="D14" s="4" t="s">
        <v>443</v>
      </c>
    </row>
    <row r="15" customFormat="false" ht="15" hidden="false" customHeight="false" outlineLevel="0" collapsed="false">
      <c r="A15" s="19" t="s">
        <v>444</v>
      </c>
      <c r="B15" s="20" t="n">
        <v>0.8</v>
      </c>
      <c r="C15" s="4" t="s">
        <v>445</v>
      </c>
      <c r="D15" s="4" t="s">
        <v>446</v>
      </c>
    </row>
    <row r="16" customFormat="false" ht="23.85" hidden="false" customHeight="false" outlineLevel="0" collapsed="false">
      <c r="A16" s="19" t="s">
        <v>447</v>
      </c>
      <c r="B16" s="20" t="n">
        <v>0.55</v>
      </c>
      <c r="C16" s="4" t="s">
        <v>448</v>
      </c>
      <c r="D16" s="4" t="s">
        <v>449</v>
      </c>
    </row>
    <row r="17" customFormat="false" ht="23.85" hidden="false" customHeight="false" outlineLevel="0" collapsed="false">
      <c r="A17" s="19" t="s">
        <v>450</v>
      </c>
      <c r="B17" s="20" t="n">
        <v>0.25</v>
      </c>
      <c r="C17" s="4" t="s">
        <v>451</v>
      </c>
      <c r="D17" s="4" t="s">
        <v>452</v>
      </c>
    </row>
    <row r="20" customFormat="false" ht="15" hidden="false" customHeight="false" outlineLevel="0" collapsed="false">
      <c r="A20" s="6" t="s">
        <v>453</v>
      </c>
    </row>
    <row r="21" customFormat="false" ht="15" hidden="false" customHeight="true" outlineLevel="0" collapsed="false">
      <c r="A21" s="21" t="s">
        <v>454</v>
      </c>
      <c r="B21" s="21"/>
      <c r="C21" s="21"/>
      <c r="D21" s="21"/>
    </row>
    <row r="22" customFormat="false" ht="15" hidden="false" customHeight="false" outlineLevel="0" collapsed="false">
      <c r="A22" s="21"/>
      <c r="B22" s="21"/>
      <c r="C22" s="21"/>
      <c r="D22" s="21"/>
    </row>
    <row r="23" customFormat="false" ht="15" hidden="false" customHeight="false" outlineLevel="0" collapsed="false">
      <c r="A23" s="21"/>
      <c r="B23" s="21"/>
      <c r="C23" s="21"/>
      <c r="D23" s="21"/>
    </row>
    <row r="24" customFormat="false" ht="15" hidden="false" customHeight="false" outlineLevel="0" collapsed="false">
      <c r="A24" s="21"/>
      <c r="B24" s="21"/>
      <c r="C24" s="21"/>
      <c r="D24" s="21"/>
    </row>
    <row r="25" customFormat="false" ht="15" hidden="false" customHeight="false" outlineLevel="0" collapsed="false">
      <c r="A25" s="21"/>
      <c r="B25" s="21"/>
      <c r="C25" s="21"/>
      <c r="D25" s="21"/>
    </row>
    <row r="26" customFormat="false" ht="15" hidden="false" customHeight="false" outlineLevel="0" collapsed="false">
      <c r="A26" s="21"/>
      <c r="B26" s="21"/>
      <c r="C26" s="21"/>
      <c r="D26" s="21"/>
    </row>
    <row r="27" customFormat="false" ht="15" hidden="false" customHeight="false" outlineLevel="0" collapsed="false">
      <c r="A27" s="21"/>
      <c r="B27" s="21"/>
      <c r="C27" s="21"/>
      <c r="D27" s="21"/>
    </row>
    <row r="28" customFormat="false" ht="15" hidden="false" customHeight="false" outlineLevel="0" collapsed="false">
      <c r="A28" s="21"/>
      <c r="B28" s="21"/>
      <c r="C28" s="21"/>
      <c r="D28" s="21"/>
    </row>
  </sheetData>
  <mergeCells count="1">
    <mergeCell ref="A21:D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T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5"/>
    <col collapsed="false" customWidth="true" hidden="false" outlineLevel="0" max="3" min="3" style="0" width="9"/>
    <col collapsed="false" customWidth="true" hidden="false" outlineLevel="0" max="4" min="4" style="0" width="46"/>
    <col collapsed="false" customWidth="true" hidden="false" outlineLevel="0" max="5" min="5" style="0" width="13"/>
    <col collapsed="false" customWidth="true" hidden="false" outlineLevel="0" max="6" min="6" style="0" width="12"/>
    <col collapsed="false" customWidth="true" hidden="false" outlineLevel="0" max="8" min="7" style="0" width="9"/>
    <col collapsed="false" customWidth="true" hidden="false" outlineLevel="0" max="9" min="9" style="0" width="24"/>
    <col collapsed="false" customWidth="true" hidden="false" outlineLevel="0" max="16" min="10" style="0" width="11"/>
    <col collapsed="false" customWidth="true" hidden="false" outlineLevel="0" max="17" min="17" style="0" width="13"/>
    <col collapsed="false" customWidth="true" hidden="false" outlineLevel="0" max="18" min="18" style="0" width="22"/>
    <col collapsed="false" customWidth="true" hidden="false" outlineLevel="0" max="19" min="19" style="0" width="24"/>
    <col collapsed="false" customWidth="true" hidden="false" outlineLevel="0" max="20" min="20" style="0" width="54"/>
  </cols>
  <sheetData>
    <row r="1" customFormat="false" ht="17.35" hidden="false" customHeight="false" outlineLevel="0" collapsed="false">
      <c r="A1" s="1" t="s">
        <v>455</v>
      </c>
    </row>
    <row r="2" customFormat="false" ht="15" hidden="false" customHeight="false" outlineLevel="0" collapsed="false">
      <c r="A2" s="2" t="s">
        <v>456</v>
      </c>
    </row>
    <row r="3" customFormat="false" ht="45.75" hidden="false" customHeight="true" outlineLevel="0" collapsed="false">
      <c r="A3" s="3" t="s">
        <v>457</v>
      </c>
      <c r="B3" s="3" t="s">
        <v>458</v>
      </c>
      <c r="C3" s="3" t="s">
        <v>459</v>
      </c>
      <c r="D3" s="3" t="s">
        <v>460</v>
      </c>
      <c r="E3" s="3" t="s">
        <v>285</v>
      </c>
      <c r="F3" s="3" t="s">
        <v>461</v>
      </c>
      <c r="G3" s="3" t="s">
        <v>462</v>
      </c>
      <c r="H3" s="3" t="s">
        <v>463</v>
      </c>
      <c r="I3" s="3" t="s">
        <v>464</v>
      </c>
      <c r="J3" s="3" t="s">
        <v>465</v>
      </c>
      <c r="K3" s="3" t="s">
        <v>466</v>
      </c>
      <c r="L3" s="3" t="s">
        <v>467</v>
      </c>
      <c r="M3" s="3" t="s">
        <v>468</v>
      </c>
      <c r="N3" s="3" t="s">
        <v>469</v>
      </c>
      <c r="O3" s="3" t="s">
        <v>470</v>
      </c>
      <c r="P3" s="3" t="s">
        <v>471</v>
      </c>
      <c r="Q3" s="3" t="s">
        <v>472</v>
      </c>
      <c r="R3" s="3" t="s">
        <v>473</v>
      </c>
      <c r="S3" s="3" t="s">
        <v>474</v>
      </c>
      <c r="T3" s="3" t="s">
        <v>475</v>
      </c>
    </row>
    <row r="4" customFormat="false" ht="23.85" hidden="false" customHeight="false" outlineLevel="0" collapsed="false">
      <c r="A4" s="4" t="s">
        <v>476</v>
      </c>
      <c r="B4" s="10" t="s">
        <v>477</v>
      </c>
      <c r="C4" s="10" t="s">
        <v>478</v>
      </c>
      <c r="D4" s="4" t="s">
        <v>479</v>
      </c>
      <c r="E4" s="10" t="s">
        <v>337</v>
      </c>
      <c r="F4" s="22" t="s">
        <v>480</v>
      </c>
      <c r="G4" s="22" t="s">
        <v>480</v>
      </c>
      <c r="H4" s="22" t="s">
        <v>480</v>
      </c>
      <c r="I4" s="5" t="s">
        <v>481</v>
      </c>
      <c r="J4" s="10" t="n">
        <v>5</v>
      </c>
      <c r="K4" s="10" t="n">
        <v>5</v>
      </c>
      <c r="L4" s="10" t="n">
        <v>4</v>
      </c>
      <c r="M4" s="10" t="n">
        <v>5</v>
      </c>
      <c r="N4" s="10" t="s">
        <v>447</v>
      </c>
      <c r="O4" s="23" t="n">
        <f aca="false">IFERROR(INDEX('07 Scoring Model'!$B$14:$B$17,MATCH(N4,'07 Scoring Model'!$A$14:$A$17,0)),0)</f>
        <v>0.55</v>
      </c>
      <c r="P4" s="24" t="n">
        <f aca="false">ROUND((J4*'07 Scoring Model'!$B$5 + K4*'07 Scoring Model'!$B$6 + L4*'07 Scoring Model'!$B$7 + M4*'07 Scoring Model'!$B$8)*20,1)</f>
        <v>96</v>
      </c>
      <c r="Q4" s="25" t="n">
        <f aca="false">ROUND(P4*O4,1)</f>
        <v>52.8</v>
      </c>
      <c r="R4" s="16" t="str">
        <f aca="false">IF(Q4&gt;=70,"1 - Target now",IF(Q4&gt;=55,"2 - Target next",IF(Q4&gt;=40,"3 - Support only",IF(Q4&gt;=28,"4 - Defer","5 - Do not chase organically"))))</f>
        <v>3 - Support only</v>
      </c>
      <c r="S4" s="4" t="s">
        <v>482</v>
      </c>
      <c r="T4" s="4" t="s">
        <v>483</v>
      </c>
    </row>
    <row r="5" customFormat="false" ht="23.85" hidden="false" customHeight="false" outlineLevel="0" collapsed="false">
      <c r="A5" s="4" t="s">
        <v>484</v>
      </c>
      <c r="B5" s="10" t="s">
        <v>477</v>
      </c>
      <c r="C5" s="10" t="s">
        <v>478</v>
      </c>
      <c r="D5" s="4" t="s">
        <v>479</v>
      </c>
      <c r="E5" s="10" t="s">
        <v>337</v>
      </c>
      <c r="F5" s="22" t="s">
        <v>480</v>
      </c>
      <c r="G5" s="22" t="s">
        <v>480</v>
      </c>
      <c r="H5" s="22" t="s">
        <v>480</v>
      </c>
      <c r="I5" s="5" t="s">
        <v>481</v>
      </c>
      <c r="J5" s="10" t="n">
        <v>5</v>
      </c>
      <c r="K5" s="10" t="n">
        <v>5</v>
      </c>
      <c r="L5" s="10" t="n">
        <v>3</v>
      </c>
      <c r="M5" s="10" t="n">
        <v>5</v>
      </c>
      <c r="N5" s="10" t="s">
        <v>447</v>
      </c>
      <c r="O5" s="23" t="n">
        <f aca="false">IFERROR(INDEX('07 Scoring Model'!$B$14:$B$17,MATCH(N5,'07 Scoring Model'!$A$14:$A$17,0)),0)</f>
        <v>0.55</v>
      </c>
      <c r="P5" s="24" t="n">
        <f aca="false">ROUND((J5*'07 Scoring Model'!$B$5 + K5*'07 Scoring Model'!$B$6 + L5*'07 Scoring Model'!$B$7 + M5*'07 Scoring Model'!$B$8)*20,1)</f>
        <v>92</v>
      </c>
      <c r="Q5" s="25" t="n">
        <f aca="false">ROUND(P5*O5,1)</f>
        <v>50.6</v>
      </c>
      <c r="R5" s="16" t="str">
        <f aca="false">IF(Q5&gt;=70,"1 - Target now",IF(Q5&gt;=55,"2 - Target next",IF(Q5&gt;=40,"3 - Support only",IF(Q5&gt;=28,"4 - Defer","5 - Do not chase organically"))))</f>
        <v>3 - Support only</v>
      </c>
      <c r="S5" s="4" t="s">
        <v>38</v>
      </c>
      <c r="T5" s="4" t="s">
        <v>485</v>
      </c>
    </row>
    <row r="6" customFormat="false" ht="23.85" hidden="false" customHeight="false" outlineLevel="0" collapsed="false">
      <c r="A6" s="4" t="s">
        <v>486</v>
      </c>
      <c r="B6" s="10" t="s">
        <v>477</v>
      </c>
      <c r="C6" s="10" t="s">
        <v>487</v>
      </c>
      <c r="D6" s="4" t="s">
        <v>479</v>
      </c>
      <c r="E6" s="10" t="s">
        <v>337</v>
      </c>
      <c r="F6" s="22" t="s">
        <v>480</v>
      </c>
      <c r="G6" s="22" t="s">
        <v>480</v>
      </c>
      <c r="H6" s="22" t="s">
        <v>480</v>
      </c>
      <c r="I6" s="5" t="s">
        <v>481</v>
      </c>
      <c r="J6" s="10" t="n">
        <v>5</v>
      </c>
      <c r="K6" s="10" t="n">
        <v>5</v>
      </c>
      <c r="L6" s="10" t="n">
        <v>3</v>
      </c>
      <c r="M6" s="10" t="n">
        <v>4</v>
      </c>
      <c r="N6" s="10" t="s">
        <v>447</v>
      </c>
      <c r="O6" s="23" t="n">
        <f aca="false">IFERROR(INDEX('07 Scoring Model'!$B$14:$B$17,MATCH(N6,'07 Scoring Model'!$A$14:$A$17,0)),0)</f>
        <v>0.55</v>
      </c>
      <c r="P6" s="24" t="n">
        <f aca="false">ROUND((J6*'07 Scoring Model'!$B$5 + K6*'07 Scoring Model'!$B$6 + L6*'07 Scoring Model'!$B$7 + M6*'07 Scoring Model'!$B$8)*20,1)</f>
        <v>89</v>
      </c>
      <c r="Q6" s="25" t="n">
        <f aca="false">ROUND(P6*O6,1)</f>
        <v>49</v>
      </c>
      <c r="R6" s="16" t="str">
        <f aca="false">IF(Q6&gt;=70,"1 - Target now",IF(Q6&gt;=55,"2 - Target next",IF(Q6&gt;=40,"3 - Support only",IF(Q6&gt;=28,"4 - Defer","5 - Do not chase organically"))))</f>
        <v>3 - Support only</v>
      </c>
      <c r="S6" s="4" t="s">
        <v>38</v>
      </c>
      <c r="T6" s="4"/>
    </row>
    <row r="7" customFormat="false" ht="23.85" hidden="false" customHeight="false" outlineLevel="0" collapsed="false">
      <c r="A7" s="4" t="s">
        <v>488</v>
      </c>
      <c r="B7" s="10" t="s">
        <v>477</v>
      </c>
      <c r="C7" s="10" t="s">
        <v>478</v>
      </c>
      <c r="D7" s="4" t="s">
        <v>489</v>
      </c>
      <c r="E7" s="10" t="s">
        <v>337</v>
      </c>
      <c r="F7" s="22" t="s">
        <v>480</v>
      </c>
      <c r="G7" s="22" t="s">
        <v>480</v>
      </c>
      <c r="H7" s="22" t="s">
        <v>480</v>
      </c>
      <c r="I7" s="5" t="s">
        <v>481</v>
      </c>
      <c r="J7" s="10" t="n">
        <v>5</v>
      </c>
      <c r="K7" s="10" t="n">
        <v>5</v>
      </c>
      <c r="L7" s="10" t="n">
        <v>3</v>
      </c>
      <c r="M7" s="10" t="n">
        <v>5</v>
      </c>
      <c r="N7" s="10" t="s">
        <v>444</v>
      </c>
      <c r="O7" s="23" t="n">
        <f aca="false">IFERROR(INDEX('07 Scoring Model'!$B$14:$B$17,MATCH(N7,'07 Scoring Model'!$A$14:$A$17,0)),0)</f>
        <v>0.8</v>
      </c>
      <c r="P7" s="24" t="n">
        <f aca="false">ROUND((J7*'07 Scoring Model'!$B$5 + K7*'07 Scoring Model'!$B$6 + L7*'07 Scoring Model'!$B$7 + M7*'07 Scoring Model'!$B$8)*20,1)</f>
        <v>92</v>
      </c>
      <c r="Q7" s="25" t="n">
        <f aca="false">ROUND(P7*O7,1)</f>
        <v>73.6</v>
      </c>
      <c r="R7" s="16" t="str">
        <f aca="false">IF(Q7&gt;=70,"1 - Target now",IF(Q7&gt;=55,"2 - Target next",IF(Q7&gt;=40,"3 - Support only",IF(Q7&gt;=28,"4 - Defer","5 - Do not chase organically"))))</f>
        <v>1 - Target now</v>
      </c>
      <c r="S7" s="4" t="s">
        <v>35</v>
      </c>
      <c r="T7" s="4" t="s">
        <v>490</v>
      </c>
    </row>
    <row r="8" customFormat="false" ht="23.85" hidden="false" customHeight="false" outlineLevel="0" collapsed="false">
      <c r="A8" s="4" t="s">
        <v>491</v>
      </c>
      <c r="B8" s="10" t="s">
        <v>477</v>
      </c>
      <c r="C8" s="10" t="s">
        <v>478</v>
      </c>
      <c r="D8" s="4" t="s">
        <v>489</v>
      </c>
      <c r="E8" s="10" t="s">
        <v>337</v>
      </c>
      <c r="F8" s="22" t="s">
        <v>480</v>
      </c>
      <c r="G8" s="22" t="s">
        <v>480</v>
      </c>
      <c r="H8" s="22" t="s">
        <v>480</v>
      </c>
      <c r="I8" s="5" t="s">
        <v>481</v>
      </c>
      <c r="J8" s="10" t="n">
        <v>5</v>
      </c>
      <c r="K8" s="10" t="n">
        <v>5</v>
      </c>
      <c r="L8" s="10" t="n">
        <v>3</v>
      </c>
      <c r="M8" s="10" t="n">
        <v>4</v>
      </c>
      <c r="N8" s="10" t="s">
        <v>444</v>
      </c>
      <c r="O8" s="23" t="n">
        <f aca="false">IFERROR(INDEX('07 Scoring Model'!$B$14:$B$17,MATCH(N8,'07 Scoring Model'!$A$14:$A$17,0)),0)</f>
        <v>0.8</v>
      </c>
      <c r="P8" s="24" t="n">
        <f aca="false">ROUND((J8*'07 Scoring Model'!$B$5 + K8*'07 Scoring Model'!$B$6 + L8*'07 Scoring Model'!$B$7 + M8*'07 Scoring Model'!$B$8)*20,1)</f>
        <v>89</v>
      </c>
      <c r="Q8" s="25" t="n">
        <f aca="false">ROUND(P8*O8,1)</f>
        <v>71.2</v>
      </c>
      <c r="R8" s="16" t="str">
        <f aca="false">IF(Q8&gt;=70,"1 - Target now",IF(Q8&gt;=55,"2 - Target next",IF(Q8&gt;=40,"3 - Support only",IF(Q8&gt;=28,"4 - Defer","5 - Do not chase organically"))))</f>
        <v>1 - Target now</v>
      </c>
      <c r="S8" s="4" t="s">
        <v>38</v>
      </c>
      <c r="T8" s="4"/>
    </row>
    <row r="9" customFormat="false" ht="23.85" hidden="false" customHeight="false" outlineLevel="0" collapsed="false">
      <c r="A9" s="4" t="s">
        <v>492</v>
      </c>
      <c r="B9" s="10" t="s">
        <v>493</v>
      </c>
      <c r="C9" s="10" t="s">
        <v>487</v>
      </c>
      <c r="D9" s="4" t="s">
        <v>489</v>
      </c>
      <c r="E9" s="10" t="s">
        <v>337</v>
      </c>
      <c r="F9" s="22" t="s">
        <v>480</v>
      </c>
      <c r="G9" s="22" t="s">
        <v>480</v>
      </c>
      <c r="H9" s="22" t="s">
        <v>480</v>
      </c>
      <c r="I9" s="5" t="s">
        <v>481</v>
      </c>
      <c r="J9" s="10" t="n">
        <v>4</v>
      </c>
      <c r="K9" s="10" t="n">
        <v>4</v>
      </c>
      <c r="L9" s="10" t="n">
        <v>3</v>
      </c>
      <c r="M9" s="10" t="n">
        <v>4</v>
      </c>
      <c r="N9" s="10" t="s">
        <v>444</v>
      </c>
      <c r="O9" s="23" t="n">
        <f aca="false">IFERROR(INDEX('07 Scoring Model'!$B$14:$B$17,MATCH(N9,'07 Scoring Model'!$A$14:$A$17,0)),0)</f>
        <v>0.8</v>
      </c>
      <c r="P9" s="24" t="n">
        <f aca="false">ROUND((J9*'07 Scoring Model'!$B$5 + K9*'07 Scoring Model'!$B$6 + L9*'07 Scoring Model'!$B$7 + M9*'07 Scoring Model'!$B$8)*20,1)</f>
        <v>76</v>
      </c>
      <c r="Q9" s="25" t="n">
        <f aca="false">ROUND(P9*O9,1)</f>
        <v>60.8</v>
      </c>
      <c r="R9" s="16" t="str">
        <f aca="false">IF(Q9&gt;=70,"1 - Target now",IF(Q9&gt;=55,"2 - Target next",IF(Q9&gt;=40,"3 - Support only",IF(Q9&gt;=28,"4 - Defer","5 - Do not chase organically"))))</f>
        <v>2 - Target next</v>
      </c>
      <c r="S9" s="4" t="s">
        <v>38</v>
      </c>
      <c r="T9" s="4"/>
    </row>
    <row r="10" customFormat="false" ht="23.85" hidden="false" customHeight="false" outlineLevel="0" collapsed="false">
      <c r="A10" s="4" t="s">
        <v>494</v>
      </c>
      <c r="B10" s="10" t="s">
        <v>495</v>
      </c>
      <c r="C10" s="10" t="s">
        <v>478</v>
      </c>
      <c r="D10" s="4" t="s">
        <v>496</v>
      </c>
      <c r="E10" s="10" t="s">
        <v>497</v>
      </c>
      <c r="F10" s="22" t="s">
        <v>480</v>
      </c>
      <c r="G10" s="22" t="s">
        <v>480</v>
      </c>
      <c r="H10" s="22" t="s">
        <v>480</v>
      </c>
      <c r="I10" s="5" t="s">
        <v>481</v>
      </c>
      <c r="J10" s="10" t="n">
        <v>3</v>
      </c>
      <c r="K10" s="10" t="n">
        <v>4</v>
      </c>
      <c r="L10" s="10" t="n">
        <v>2</v>
      </c>
      <c r="M10" s="10" t="n">
        <v>4</v>
      </c>
      <c r="N10" s="12" t="s">
        <v>441</v>
      </c>
      <c r="O10" s="23" t="n">
        <f aca="false">IFERROR(INDEX('07 Scoring Model'!$B$14:$B$17,MATCH(N10,'07 Scoring Model'!$A$14:$A$17,0)),0)</f>
        <v>1</v>
      </c>
      <c r="P10" s="24" t="n">
        <f aca="false">ROUND((J10*'07 Scoring Model'!$B$5 + K10*'07 Scoring Model'!$B$6 + L10*'07 Scoring Model'!$B$7 + M10*'07 Scoring Model'!$B$8)*20,1)</f>
        <v>65</v>
      </c>
      <c r="Q10" s="25" t="n">
        <f aca="false">ROUND(P10*O10,1)</f>
        <v>65</v>
      </c>
      <c r="R10" s="16" t="str">
        <f aca="false">IF(Q10&gt;=70,"1 - Target now",IF(Q10&gt;=55,"2 - Target next",IF(Q10&gt;=40,"3 - Support only",IF(Q10&gt;=28,"4 - Defer","5 - Do not chase organically"))))</f>
        <v>2 - Target next</v>
      </c>
      <c r="S10" s="4" t="s">
        <v>38</v>
      </c>
      <c r="T10" s="4" t="s">
        <v>498</v>
      </c>
    </row>
    <row r="11" customFormat="false" ht="23.85" hidden="false" customHeight="false" outlineLevel="0" collapsed="false">
      <c r="A11" s="4" t="s">
        <v>499</v>
      </c>
      <c r="B11" s="10" t="s">
        <v>493</v>
      </c>
      <c r="C11" s="10" t="s">
        <v>478</v>
      </c>
      <c r="D11" s="4" t="s">
        <v>500</v>
      </c>
      <c r="E11" s="10" t="s">
        <v>497</v>
      </c>
      <c r="F11" s="22" t="s">
        <v>480</v>
      </c>
      <c r="G11" s="22" t="s">
        <v>480</v>
      </c>
      <c r="H11" s="22" t="s">
        <v>480</v>
      </c>
      <c r="I11" s="5" t="s">
        <v>481</v>
      </c>
      <c r="J11" s="10" t="n">
        <v>5</v>
      </c>
      <c r="K11" s="10" t="n">
        <v>5</v>
      </c>
      <c r="L11" s="10" t="n">
        <v>3</v>
      </c>
      <c r="M11" s="10" t="n">
        <v>5</v>
      </c>
      <c r="N11" s="12" t="s">
        <v>441</v>
      </c>
      <c r="O11" s="23" t="n">
        <f aca="false">IFERROR(INDEX('07 Scoring Model'!$B$14:$B$17,MATCH(N11,'07 Scoring Model'!$A$14:$A$17,0)),0)</f>
        <v>1</v>
      </c>
      <c r="P11" s="24" t="n">
        <f aca="false">ROUND((J11*'07 Scoring Model'!$B$5 + K11*'07 Scoring Model'!$B$6 + L11*'07 Scoring Model'!$B$7 + M11*'07 Scoring Model'!$B$8)*20,1)</f>
        <v>92</v>
      </c>
      <c r="Q11" s="25" t="n">
        <f aca="false">ROUND(P11*O11,1)</f>
        <v>92</v>
      </c>
      <c r="R11" s="16" t="str">
        <f aca="false">IF(Q11&gt;=70,"1 - Target now",IF(Q11&gt;=55,"2 - Target next",IF(Q11&gt;=40,"3 - Support only",IF(Q11&gt;=28,"4 - Defer","5 - Do not chase organically"))))</f>
        <v>1 - Target now</v>
      </c>
      <c r="S11" s="4" t="s">
        <v>482</v>
      </c>
      <c r="T11" s="4" t="s">
        <v>501</v>
      </c>
    </row>
    <row r="12" customFormat="false" ht="23.85" hidden="false" customHeight="false" outlineLevel="0" collapsed="false">
      <c r="A12" s="4" t="s">
        <v>502</v>
      </c>
      <c r="B12" s="10" t="s">
        <v>477</v>
      </c>
      <c r="C12" s="10" t="s">
        <v>478</v>
      </c>
      <c r="D12" s="4" t="s">
        <v>503</v>
      </c>
      <c r="E12" s="10" t="s">
        <v>337</v>
      </c>
      <c r="F12" s="22" t="s">
        <v>480</v>
      </c>
      <c r="G12" s="22" t="s">
        <v>480</v>
      </c>
      <c r="H12" s="22" t="s">
        <v>480</v>
      </c>
      <c r="I12" s="5" t="s">
        <v>481</v>
      </c>
      <c r="J12" s="10" t="n">
        <v>5</v>
      </c>
      <c r="K12" s="10" t="n">
        <v>5</v>
      </c>
      <c r="L12" s="10" t="n">
        <v>3</v>
      </c>
      <c r="M12" s="10" t="n">
        <v>5</v>
      </c>
      <c r="N12" s="10" t="s">
        <v>444</v>
      </c>
      <c r="O12" s="23" t="n">
        <f aca="false">IFERROR(INDEX('07 Scoring Model'!$B$14:$B$17,MATCH(N12,'07 Scoring Model'!$A$14:$A$17,0)),0)</f>
        <v>0.8</v>
      </c>
      <c r="P12" s="24" t="n">
        <f aca="false">ROUND((J12*'07 Scoring Model'!$B$5 + K12*'07 Scoring Model'!$B$6 + L12*'07 Scoring Model'!$B$7 + M12*'07 Scoring Model'!$B$8)*20,1)</f>
        <v>92</v>
      </c>
      <c r="Q12" s="25" t="n">
        <f aca="false">ROUND(P12*O12,1)</f>
        <v>73.6</v>
      </c>
      <c r="R12" s="16" t="str">
        <f aca="false">IF(Q12&gt;=70,"1 - Target now",IF(Q12&gt;=55,"2 - Target next",IF(Q12&gt;=40,"3 - Support only",IF(Q12&gt;=28,"4 - Defer","5 - Do not chase organically"))))</f>
        <v>1 - Target now</v>
      </c>
      <c r="S12" s="4" t="s">
        <v>38</v>
      </c>
      <c r="T12" s="4" t="s">
        <v>504</v>
      </c>
    </row>
    <row r="13" customFormat="false" ht="23.85" hidden="false" customHeight="false" outlineLevel="0" collapsed="false">
      <c r="A13" s="4" t="s">
        <v>505</v>
      </c>
      <c r="B13" s="10" t="s">
        <v>477</v>
      </c>
      <c r="C13" s="10" t="s">
        <v>478</v>
      </c>
      <c r="D13" s="4" t="s">
        <v>503</v>
      </c>
      <c r="E13" s="10" t="s">
        <v>337</v>
      </c>
      <c r="F13" s="22" t="s">
        <v>480</v>
      </c>
      <c r="G13" s="22" t="s">
        <v>480</v>
      </c>
      <c r="H13" s="22" t="s">
        <v>480</v>
      </c>
      <c r="I13" s="5" t="s">
        <v>481</v>
      </c>
      <c r="J13" s="10" t="n">
        <v>5</v>
      </c>
      <c r="K13" s="10" t="n">
        <v>5</v>
      </c>
      <c r="L13" s="10" t="n">
        <v>3</v>
      </c>
      <c r="M13" s="10" t="n">
        <v>5</v>
      </c>
      <c r="N13" s="12" t="s">
        <v>441</v>
      </c>
      <c r="O13" s="23" t="n">
        <f aca="false">IFERROR(INDEX('07 Scoring Model'!$B$14:$B$17,MATCH(N13,'07 Scoring Model'!$A$14:$A$17,0)),0)</f>
        <v>1</v>
      </c>
      <c r="P13" s="24" t="n">
        <f aca="false">ROUND((J13*'07 Scoring Model'!$B$5 + K13*'07 Scoring Model'!$B$6 + L13*'07 Scoring Model'!$B$7 + M13*'07 Scoring Model'!$B$8)*20,1)</f>
        <v>92</v>
      </c>
      <c r="Q13" s="25" t="n">
        <f aca="false">ROUND(P13*O13,1)</f>
        <v>92</v>
      </c>
      <c r="R13" s="16" t="str">
        <f aca="false">IF(Q13&gt;=70,"1 - Target now",IF(Q13&gt;=55,"2 - Target next",IF(Q13&gt;=40,"3 - Support only",IF(Q13&gt;=28,"4 - Defer","5 - Do not chase organically"))))</f>
        <v>1 - Target now</v>
      </c>
      <c r="S13" s="4" t="s">
        <v>38</v>
      </c>
      <c r="T13" s="4" t="s">
        <v>506</v>
      </c>
    </row>
    <row r="14" customFormat="false" ht="23.85" hidden="false" customHeight="false" outlineLevel="0" collapsed="false">
      <c r="A14" s="4" t="s">
        <v>507</v>
      </c>
      <c r="B14" s="10" t="s">
        <v>477</v>
      </c>
      <c r="C14" s="10" t="s">
        <v>487</v>
      </c>
      <c r="D14" s="4" t="s">
        <v>503</v>
      </c>
      <c r="E14" s="10" t="s">
        <v>337</v>
      </c>
      <c r="F14" s="22" t="s">
        <v>480</v>
      </c>
      <c r="G14" s="22" t="s">
        <v>480</v>
      </c>
      <c r="H14" s="22" t="s">
        <v>480</v>
      </c>
      <c r="I14" s="5" t="s">
        <v>481</v>
      </c>
      <c r="J14" s="10" t="n">
        <v>5</v>
      </c>
      <c r="K14" s="10" t="n">
        <v>4</v>
      </c>
      <c r="L14" s="10" t="n">
        <v>3</v>
      </c>
      <c r="M14" s="10" t="n">
        <v>4</v>
      </c>
      <c r="N14" s="10" t="s">
        <v>444</v>
      </c>
      <c r="O14" s="23" t="n">
        <f aca="false">IFERROR(INDEX('07 Scoring Model'!$B$14:$B$17,MATCH(N14,'07 Scoring Model'!$A$14:$A$17,0)),0)</f>
        <v>0.8</v>
      </c>
      <c r="P14" s="24" t="n">
        <f aca="false">ROUND((J14*'07 Scoring Model'!$B$5 + K14*'07 Scoring Model'!$B$6 + L14*'07 Scoring Model'!$B$7 + M14*'07 Scoring Model'!$B$8)*20,1)</f>
        <v>83</v>
      </c>
      <c r="Q14" s="25" t="n">
        <f aca="false">ROUND(P14*O14,1)</f>
        <v>66.4</v>
      </c>
      <c r="R14" s="16" t="str">
        <f aca="false">IF(Q14&gt;=70,"1 - Target now",IF(Q14&gt;=55,"2 - Target next",IF(Q14&gt;=40,"3 - Support only",IF(Q14&gt;=28,"4 - Defer","5 - Do not chase organically"))))</f>
        <v>2 - Target next</v>
      </c>
      <c r="S14" s="4" t="s">
        <v>38</v>
      </c>
      <c r="T14" s="4" t="s">
        <v>508</v>
      </c>
    </row>
    <row r="15" customFormat="false" ht="23.85" hidden="false" customHeight="false" outlineLevel="0" collapsed="false">
      <c r="A15" s="4" t="s">
        <v>509</v>
      </c>
      <c r="B15" s="10" t="s">
        <v>493</v>
      </c>
      <c r="C15" s="10" t="s">
        <v>478</v>
      </c>
      <c r="D15" s="4" t="s">
        <v>510</v>
      </c>
      <c r="E15" s="10" t="s">
        <v>497</v>
      </c>
      <c r="F15" s="22" t="s">
        <v>480</v>
      </c>
      <c r="G15" s="22" t="s">
        <v>480</v>
      </c>
      <c r="H15" s="22" t="s">
        <v>480</v>
      </c>
      <c r="I15" s="5" t="s">
        <v>481</v>
      </c>
      <c r="J15" s="10" t="n">
        <v>5</v>
      </c>
      <c r="K15" s="10" t="n">
        <v>4</v>
      </c>
      <c r="L15" s="10" t="n">
        <v>2</v>
      </c>
      <c r="M15" s="10" t="n">
        <v>4</v>
      </c>
      <c r="N15" s="12" t="s">
        <v>441</v>
      </c>
      <c r="O15" s="23" t="n">
        <f aca="false">IFERROR(INDEX('07 Scoring Model'!$B$14:$B$17,MATCH(N15,'07 Scoring Model'!$A$14:$A$17,0)),0)</f>
        <v>1</v>
      </c>
      <c r="P15" s="24" t="n">
        <f aca="false">ROUND((J15*'07 Scoring Model'!$B$5 + K15*'07 Scoring Model'!$B$6 + L15*'07 Scoring Model'!$B$7 + M15*'07 Scoring Model'!$B$8)*20,1)</f>
        <v>79</v>
      </c>
      <c r="Q15" s="25" t="n">
        <f aca="false">ROUND(P15*O15,1)</f>
        <v>79</v>
      </c>
      <c r="R15" s="16" t="str">
        <f aca="false">IF(Q15&gt;=70,"1 - Target now",IF(Q15&gt;=55,"2 - Target next",IF(Q15&gt;=40,"3 - Support only",IF(Q15&gt;=28,"4 - Defer","5 - Do not chase organically"))))</f>
        <v>1 - Target now</v>
      </c>
      <c r="S15" s="4" t="s">
        <v>38</v>
      </c>
      <c r="T15" s="4" t="s">
        <v>511</v>
      </c>
    </row>
    <row r="16" customFormat="false" ht="23.85" hidden="false" customHeight="false" outlineLevel="0" collapsed="false">
      <c r="A16" s="4" t="s">
        <v>512</v>
      </c>
      <c r="B16" s="10" t="s">
        <v>493</v>
      </c>
      <c r="C16" s="10" t="s">
        <v>513</v>
      </c>
      <c r="D16" s="4" t="s">
        <v>514</v>
      </c>
      <c r="E16" s="10" t="s">
        <v>497</v>
      </c>
      <c r="F16" s="22" t="s">
        <v>480</v>
      </c>
      <c r="G16" s="22" t="s">
        <v>480</v>
      </c>
      <c r="H16" s="22" t="s">
        <v>480</v>
      </c>
      <c r="I16" s="5" t="s">
        <v>481</v>
      </c>
      <c r="J16" s="10" t="n">
        <v>4</v>
      </c>
      <c r="K16" s="10" t="n">
        <v>4</v>
      </c>
      <c r="L16" s="10" t="n">
        <v>2</v>
      </c>
      <c r="M16" s="10" t="n">
        <v>5</v>
      </c>
      <c r="N16" s="12" t="s">
        <v>441</v>
      </c>
      <c r="O16" s="23" t="n">
        <f aca="false">IFERROR(INDEX('07 Scoring Model'!$B$14:$B$17,MATCH(N16,'07 Scoring Model'!$A$14:$A$17,0)),0)</f>
        <v>1</v>
      </c>
      <c r="P16" s="24" t="n">
        <f aca="false">ROUND((J16*'07 Scoring Model'!$B$5 + K16*'07 Scoring Model'!$B$6 + L16*'07 Scoring Model'!$B$7 + M16*'07 Scoring Model'!$B$8)*20,1)</f>
        <v>75</v>
      </c>
      <c r="Q16" s="25" t="n">
        <f aca="false">ROUND(P16*O16,1)</f>
        <v>75</v>
      </c>
      <c r="R16" s="16" t="str">
        <f aca="false">IF(Q16&gt;=70,"1 - Target now",IF(Q16&gt;=55,"2 - Target next",IF(Q16&gt;=40,"3 - Support only",IF(Q16&gt;=28,"4 - Defer","5 - Do not chase organically"))))</f>
        <v>1 - Target now</v>
      </c>
      <c r="S16" s="4" t="s">
        <v>43</v>
      </c>
      <c r="T16" s="4" t="s">
        <v>515</v>
      </c>
    </row>
    <row r="17" customFormat="false" ht="23.85" hidden="false" customHeight="false" outlineLevel="0" collapsed="false">
      <c r="A17" s="4" t="s">
        <v>516</v>
      </c>
      <c r="B17" s="10" t="s">
        <v>477</v>
      </c>
      <c r="C17" s="10" t="s">
        <v>478</v>
      </c>
      <c r="D17" s="4" t="s">
        <v>517</v>
      </c>
      <c r="E17" s="10" t="s">
        <v>337</v>
      </c>
      <c r="F17" s="22" t="s">
        <v>480</v>
      </c>
      <c r="G17" s="22" t="s">
        <v>480</v>
      </c>
      <c r="H17" s="22" t="s">
        <v>480</v>
      </c>
      <c r="I17" s="5" t="s">
        <v>481</v>
      </c>
      <c r="J17" s="10" t="n">
        <v>5</v>
      </c>
      <c r="K17" s="10" t="n">
        <v>5</v>
      </c>
      <c r="L17" s="10" t="n">
        <v>4</v>
      </c>
      <c r="M17" s="10" t="n">
        <v>5</v>
      </c>
      <c r="N17" s="10" t="s">
        <v>447</v>
      </c>
      <c r="O17" s="23" t="n">
        <f aca="false">IFERROR(INDEX('07 Scoring Model'!$B$14:$B$17,MATCH(N17,'07 Scoring Model'!$A$14:$A$17,0)),0)</f>
        <v>0.55</v>
      </c>
      <c r="P17" s="24" t="n">
        <f aca="false">ROUND((J17*'07 Scoring Model'!$B$5 + K17*'07 Scoring Model'!$B$6 + L17*'07 Scoring Model'!$B$7 + M17*'07 Scoring Model'!$B$8)*20,1)</f>
        <v>96</v>
      </c>
      <c r="Q17" s="25" t="n">
        <f aca="false">ROUND(P17*O17,1)</f>
        <v>52.8</v>
      </c>
      <c r="R17" s="16" t="str">
        <f aca="false">IF(Q17&gt;=70,"1 - Target now",IF(Q17&gt;=55,"2 - Target next",IF(Q17&gt;=40,"3 - Support only",IF(Q17&gt;=28,"4 - Defer","5 - Do not chase organically"))))</f>
        <v>3 - Support only</v>
      </c>
      <c r="S17" s="4" t="s">
        <v>482</v>
      </c>
      <c r="T17" s="4" t="s">
        <v>518</v>
      </c>
    </row>
    <row r="18" customFormat="false" ht="23.85" hidden="false" customHeight="false" outlineLevel="0" collapsed="false">
      <c r="A18" s="4" t="s">
        <v>519</v>
      </c>
      <c r="B18" s="10" t="s">
        <v>477</v>
      </c>
      <c r="C18" s="10" t="s">
        <v>487</v>
      </c>
      <c r="D18" s="4" t="s">
        <v>517</v>
      </c>
      <c r="E18" s="10" t="s">
        <v>337</v>
      </c>
      <c r="F18" s="22" t="s">
        <v>480</v>
      </c>
      <c r="G18" s="22" t="s">
        <v>480</v>
      </c>
      <c r="H18" s="22" t="s">
        <v>480</v>
      </c>
      <c r="I18" s="5" t="s">
        <v>481</v>
      </c>
      <c r="J18" s="10" t="n">
        <v>5</v>
      </c>
      <c r="K18" s="10" t="n">
        <v>5</v>
      </c>
      <c r="L18" s="10" t="n">
        <v>3</v>
      </c>
      <c r="M18" s="10" t="n">
        <v>4</v>
      </c>
      <c r="N18" s="10" t="s">
        <v>447</v>
      </c>
      <c r="O18" s="23" t="n">
        <f aca="false">IFERROR(INDEX('07 Scoring Model'!$B$14:$B$17,MATCH(N18,'07 Scoring Model'!$A$14:$A$17,0)),0)</f>
        <v>0.55</v>
      </c>
      <c r="P18" s="24" t="n">
        <f aca="false">ROUND((J18*'07 Scoring Model'!$B$5 + K18*'07 Scoring Model'!$B$6 + L18*'07 Scoring Model'!$B$7 + M18*'07 Scoring Model'!$B$8)*20,1)</f>
        <v>89</v>
      </c>
      <c r="Q18" s="25" t="n">
        <f aca="false">ROUND(P18*O18,1)</f>
        <v>49</v>
      </c>
      <c r="R18" s="16" t="str">
        <f aca="false">IF(Q18&gt;=70,"1 - Target now",IF(Q18&gt;=55,"2 - Target next",IF(Q18&gt;=40,"3 - Support only",IF(Q18&gt;=28,"4 - Defer","5 - Do not chase organically"))))</f>
        <v>3 - Support only</v>
      </c>
      <c r="S18" s="4" t="s">
        <v>38</v>
      </c>
      <c r="T18" s="4" t="s">
        <v>520</v>
      </c>
    </row>
    <row r="19" customFormat="false" ht="23.85" hidden="false" customHeight="false" outlineLevel="0" collapsed="false">
      <c r="A19" s="4" t="s">
        <v>521</v>
      </c>
      <c r="B19" s="10" t="s">
        <v>477</v>
      </c>
      <c r="C19" s="10" t="s">
        <v>478</v>
      </c>
      <c r="D19" s="4" t="s">
        <v>522</v>
      </c>
      <c r="E19" s="10" t="s">
        <v>523</v>
      </c>
      <c r="F19" s="22" t="s">
        <v>480</v>
      </c>
      <c r="G19" s="22" t="s">
        <v>480</v>
      </c>
      <c r="H19" s="22" t="s">
        <v>480</v>
      </c>
      <c r="I19" s="5" t="s">
        <v>481</v>
      </c>
      <c r="J19" s="10" t="n">
        <v>4</v>
      </c>
      <c r="K19" s="10" t="n">
        <v>4</v>
      </c>
      <c r="L19" s="10" t="n">
        <v>2</v>
      </c>
      <c r="M19" s="10" t="n">
        <v>4</v>
      </c>
      <c r="N19" s="10" t="s">
        <v>444</v>
      </c>
      <c r="O19" s="23" t="n">
        <f aca="false">IFERROR(INDEX('07 Scoring Model'!$B$14:$B$17,MATCH(N19,'07 Scoring Model'!$A$14:$A$17,0)),0)</f>
        <v>0.8</v>
      </c>
      <c r="P19" s="24" t="n">
        <f aca="false">ROUND((J19*'07 Scoring Model'!$B$5 + K19*'07 Scoring Model'!$B$6 + L19*'07 Scoring Model'!$B$7 + M19*'07 Scoring Model'!$B$8)*20,1)</f>
        <v>72</v>
      </c>
      <c r="Q19" s="25" t="n">
        <f aca="false">ROUND(P19*O19,1)</f>
        <v>57.6</v>
      </c>
      <c r="R19" s="16" t="str">
        <f aca="false">IF(Q19&gt;=70,"1 - Target now",IF(Q19&gt;=55,"2 - Target next",IF(Q19&gt;=40,"3 - Support only",IF(Q19&gt;=28,"4 - Defer","5 - Do not chase organically"))))</f>
        <v>2 - Target next</v>
      </c>
      <c r="S19" s="4" t="s">
        <v>38</v>
      </c>
      <c r="T19" s="4" t="s">
        <v>524</v>
      </c>
    </row>
    <row r="20" customFormat="false" ht="23.85" hidden="false" customHeight="false" outlineLevel="0" collapsed="false">
      <c r="A20" s="4" t="s">
        <v>525</v>
      </c>
      <c r="B20" s="10" t="s">
        <v>477</v>
      </c>
      <c r="C20" s="10" t="s">
        <v>513</v>
      </c>
      <c r="D20" s="4" t="s">
        <v>526</v>
      </c>
      <c r="E20" s="10" t="s">
        <v>337</v>
      </c>
      <c r="F20" s="22" t="s">
        <v>480</v>
      </c>
      <c r="G20" s="22" t="s">
        <v>480</v>
      </c>
      <c r="H20" s="22" t="s">
        <v>480</v>
      </c>
      <c r="I20" s="5" t="s">
        <v>481</v>
      </c>
      <c r="J20" s="10" t="n">
        <v>5</v>
      </c>
      <c r="K20" s="10" t="n">
        <v>4</v>
      </c>
      <c r="L20" s="10" t="n">
        <v>3</v>
      </c>
      <c r="M20" s="10" t="n">
        <v>4</v>
      </c>
      <c r="N20" s="12" t="s">
        <v>441</v>
      </c>
      <c r="O20" s="23" t="n">
        <f aca="false">IFERROR(INDEX('07 Scoring Model'!$B$14:$B$17,MATCH(N20,'07 Scoring Model'!$A$14:$A$17,0)),0)</f>
        <v>1</v>
      </c>
      <c r="P20" s="24" t="n">
        <f aca="false">ROUND((J20*'07 Scoring Model'!$B$5 + K20*'07 Scoring Model'!$B$6 + L20*'07 Scoring Model'!$B$7 + M20*'07 Scoring Model'!$B$8)*20,1)</f>
        <v>83</v>
      </c>
      <c r="Q20" s="25" t="n">
        <f aca="false">ROUND(P20*O20,1)</f>
        <v>83</v>
      </c>
      <c r="R20" s="16" t="str">
        <f aca="false">IF(Q20&gt;=70,"1 - Target now",IF(Q20&gt;=55,"2 - Target next",IF(Q20&gt;=40,"3 - Support only",IF(Q20&gt;=28,"4 - Defer","5 - Do not chase organically"))))</f>
        <v>1 - Target now</v>
      </c>
      <c r="S20" s="4" t="s">
        <v>482</v>
      </c>
      <c r="T20" s="4" t="s">
        <v>527</v>
      </c>
    </row>
    <row r="21" customFormat="false" ht="23.85" hidden="false" customHeight="false" outlineLevel="0" collapsed="false">
      <c r="A21" s="4" t="s">
        <v>528</v>
      </c>
      <c r="B21" s="10" t="s">
        <v>477</v>
      </c>
      <c r="C21" s="10" t="s">
        <v>478</v>
      </c>
      <c r="D21" s="4" t="s">
        <v>529</v>
      </c>
      <c r="E21" s="10" t="s">
        <v>523</v>
      </c>
      <c r="F21" s="22" t="s">
        <v>480</v>
      </c>
      <c r="G21" s="22" t="s">
        <v>480</v>
      </c>
      <c r="H21" s="22" t="s">
        <v>480</v>
      </c>
      <c r="I21" s="5" t="s">
        <v>481</v>
      </c>
      <c r="J21" s="10" t="n">
        <v>4</v>
      </c>
      <c r="K21" s="10" t="n">
        <v>4</v>
      </c>
      <c r="L21" s="10" t="n">
        <v>2</v>
      </c>
      <c r="M21" s="10" t="n">
        <v>4</v>
      </c>
      <c r="N21" s="12" t="s">
        <v>441</v>
      </c>
      <c r="O21" s="23" t="n">
        <f aca="false">IFERROR(INDEX('07 Scoring Model'!$B$14:$B$17,MATCH(N21,'07 Scoring Model'!$A$14:$A$17,0)),0)</f>
        <v>1</v>
      </c>
      <c r="P21" s="24" t="n">
        <f aca="false">ROUND((J21*'07 Scoring Model'!$B$5 + K21*'07 Scoring Model'!$B$6 + L21*'07 Scoring Model'!$B$7 + M21*'07 Scoring Model'!$B$8)*20,1)</f>
        <v>72</v>
      </c>
      <c r="Q21" s="25" t="n">
        <f aca="false">ROUND(P21*O21,1)</f>
        <v>72</v>
      </c>
      <c r="R21" s="16" t="str">
        <f aca="false">IF(Q21&gt;=70,"1 - Target now",IF(Q21&gt;=55,"2 - Target next",IF(Q21&gt;=40,"3 - Support only",IF(Q21&gt;=28,"4 - Defer","5 - Do not chase organically"))))</f>
        <v>1 - Target now</v>
      </c>
      <c r="S21" s="4" t="s">
        <v>35</v>
      </c>
      <c r="T21" s="4" t="s">
        <v>530</v>
      </c>
    </row>
    <row r="22" customFormat="false" ht="23.85" hidden="false" customHeight="false" outlineLevel="0" collapsed="false">
      <c r="A22" s="4" t="s">
        <v>531</v>
      </c>
      <c r="B22" s="10" t="s">
        <v>493</v>
      </c>
      <c r="C22" s="10" t="s">
        <v>487</v>
      </c>
      <c r="D22" s="4" t="s">
        <v>532</v>
      </c>
      <c r="E22" s="10" t="s">
        <v>337</v>
      </c>
      <c r="F22" s="22" t="s">
        <v>480</v>
      </c>
      <c r="G22" s="22" t="s">
        <v>480</v>
      </c>
      <c r="H22" s="22" t="s">
        <v>480</v>
      </c>
      <c r="I22" s="5" t="s">
        <v>481</v>
      </c>
      <c r="J22" s="10" t="n">
        <v>4</v>
      </c>
      <c r="K22" s="10" t="n">
        <v>4</v>
      </c>
      <c r="L22" s="10" t="n">
        <v>3</v>
      </c>
      <c r="M22" s="10" t="n">
        <v>4</v>
      </c>
      <c r="N22" s="12" t="s">
        <v>441</v>
      </c>
      <c r="O22" s="23" t="n">
        <f aca="false">IFERROR(INDEX('07 Scoring Model'!$B$14:$B$17,MATCH(N22,'07 Scoring Model'!$A$14:$A$17,0)),0)</f>
        <v>1</v>
      </c>
      <c r="P22" s="24" t="n">
        <f aca="false">ROUND((J22*'07 Scoring Model'!$B$5 + K22*'07 Scoring Model'!$B$6 + L22*'07 Scoring Model'!$B$7 + M22*'07 Scoring Model'!$B$8)*20,1)</f>
        <v>76</v>
      </c>
      <c r="Q22" s="25" t="n">
        <f aca="false">ROUND(P22*O22,1)</f>
        <v>76</v>
      </c>
      <c r="R22" s="16" t="str">
        <f aca="false">IF(Q22&gt;=70,"1 - Target now",IF(Q22&gt;=55,"2 - Target next",IF(Q22&gt;=40,"3 - Support only",IF(Q22&gt;=28,"4 - Defer","5 - Do not chase organically"))))</f>
        <v>1 - Target now</v>
      </c>
      <c r="S22" s="4" t="s">
        <v>38</v>
      </c>
      <c r="T22" s="4" t="s">
        <v>533</v>
      </c>
    </row>
    <row r="23" customFormat="false" ht="23.85" hidden="false" customHeight="false" outlineLevel="0" collapsed="false">
      <c r="A23" s="4" t="s">
        <v>534</v>
      </c>
      <c r="B23" s="10" t="s">
        <v>495</v>
      </c>
      <c r="C23" s="10" t="s">
        <v>478</v>
      </c>
      <c r="D23" s="4" t="s">
        <v>535</v>
      </c>
      <c r="E23" s="10" t="s">
        <v>497</v>
      </c>
      <c r="F23" s="22" t="s">
        <v>480</v>
      </c>
      <c r="G23" s="22" t="s">
        <v>480</v>
      </c>
      <c r="H23" s="22" t="s">
        <v>480</v>
      </c>
      <c r="I23" s="5" t="s">
        <v>481</v>
      </c>
      <c r="J23" s="10" t="n">
        <v>3</v>
      </c>
      <c r="K23" s="10" t="n">
        <v>3</v>
      </c>
      <c r="L23" s="10" t="n">
        <v>2</v>
      </c>
      <c r="M23" s="10" t="n">
        <v>3</v>
      </c>
      <c r="N23" s="12" t="s">
        <v>441</v>
      </c>
      <c r="O23" s="23" t="n">
        <f aca="false">IFERROR(INDEX('07 Scoring Model'!$B$14:$B$17,MATCH(N23,'07 Scoring Model'!$A$14:$A$17,0)),0)</f>
        <v>1</v>
      </c>
      <c r="P23" s="24" t="n">
        <f aca="false">ROUND((J23*'07 Scoring Model'!$B$5 + K23*'07 Scoring Model'!$B$6 + L23*'07 Scoring Model'!$B$7 + M23*'07 Scoring Model'!$B$8)*20,1)</f>
        <v>56</v>
      </c>
      <c r="Q23" s="25" t="n">
        <f aca="false">ROUND(P23*O23,1)</f>
        <v>56</v>
      </c>
      <c r="R23" s="16" t="str">
        <f aca="false">IF(Q23&gt;=70,"1 - Target now",IF(Q23&gt;=55,"2 - Target next",IF(Q23&gt;=40,"3 - Support only",IF(Q23&gt;=28,"4 - Defer","5 - Do not chase organically"))))</f>
        <v>2 - Target next</v>
      </c>
      <c r="S23" s="4" t="s">
        <v>38</v>
      </c>
      <c r="T23" s="4"/>
    </row>
    <row r="24" customFormat="false" ht="23.85" hidden="false" customHeight="false" outlineLevel="0" collapsed="false">
      <c r="A24" s="4" t="s">
        <v>536</v>
      </c>
      <c r="B24" s="10" t="s">
        <v>493</v>
      </c>
      <c r="C24" s="10" t="s">
        <v>513</v>
      </c>
      <c r="D24" s="4" t="s">
        <v>537</v>
      </c>
      <c r="E24" s="10" t="s">
        <v>497</v>
      </c>
      <c r="F24" s="22" t="s">
        <v>480</v>
      </c>
      <c r="G24" s="22" t="s">
        <v>480</v>
      </c>
      <c r="H24" s="22" t="s">
        <v>480</v>
      </c>
      <c r="I24" s="5" t="s">
        <v>481</v>
      </c>
      <c r="J24" s="10" t="n">
        <v>4</v>
      </c>
      <c r="K24" s="10" t="n">
        <v>4</v>
      </c>
      <c r="L24" s="10" t="n">
        <v>4</v>
      </c>
      <c r="M24" s="10" t="n">
        <v>4</v>
      </c>
      <c r="N24" s="12" t="s">
        <v>441</v>
      </c>
      <c r="O24" s="23" t="n">
        <f aca="false">IFERROR(INDEX('07 Scoring Model'!$B$14:$B$17,MATCH(N24,'07 Scoring Model'!$A$14:$A$17,0)),0)</f>
        <v>1</v>
      </c>
      <c r="P24" s="24" t="n">
        <f aca="false">ROUND((J24*'07 Scoring Model'!$B$5 + K24*'07 Scoring Model'!$B$6 + L24*'07 Scoring Model'!$B$7 + M24*'07 Scoring Model'!$B$8)*20,1)</f>
        <v>80</v>
      </c>
      <c r="Q24" s="25" t="n">
        <f aca="false">ROUND(P24*O24,1)</f>
        <v>80</v>
      </c>
      <c r="R24" s="16" t="str">
        <f aca="false">IF(Q24&gt;=70,"1 - Target now",IF(Q24&gt;=55,"2 - Target next",IF(Q24&gt;=40,"3 - Support only",IF(Q24&gt;=28,"4 - Defer","5 - Do not chase organically"))))</f>
        <v>1 - Target now</v>
      </c>
      <c r="S24" s="4" t="s">
        <v>482</v>
      </c>
      <c r="T24" s="4"/>
    </row>
    <row r="25" customFormat="false" ht="23.85" hidden="false" customHeight="false" outlineLevel="0" collapsed="false">
      <c r="A25" s="4" t="s">
        <v>538</v>
      </c>
      <c r="B25" s="10" t="s">
        <v>477</v>
      </c>
      <c r="C25" s="10" t="s">
        <v>487</v>
      </c>
      <c r="D25" s="4" t="s">
        <v>539</v>
      </c>
      <c r="E25" s="10" t="s">
        <v>337</v>
      </c>
      <c r="F25" s="22" t="s">
        <v>480</v>
      </c>
      <c r="G25" s="22" t="s">
        <v>480</v>
      </c>
      <c r="H25" s="22" t="s">
        <v>480</v>
      </c>
      <c r="I25" s="5" t="s">
        <v>481</v>
      </c>
      <c r="J25" s="10" t="n">
        <v>5</v>
      </c>
      <c r="K25" s="10" t="n">
        <v>4</v>
      </c>
      <c r="L25" s="10" t="n">
        <v>3</v>
      </c>
      <c r="M25" s="10" t="n">
        <v>4</v>
      </c>
      <c r="N25" s="10" t="s">
        <v>444</v>
      </c>
      <c r="O25" s="23" t="n">
        <f aca="false">IFERROR(INDEX('07 Scoring Model'!$B$14:$B$17,MATCH(N25,'07 Scoring Model'!$A$14:$A$17,0)),0)</f>
        <v>0.8</v>
      </c>
      <c r="P25" s="24" t="n">
        <f aca="false">ROUND((J25*'07 Scoring Model'!$B$5 + K25*'07 Scoring Model'!$B$6 + L25*'07 Scoring Model'!$B$7 + M25*'07 Scoring Model'!$B$8)*20,1)</f>
        <v>83</v>
      </c>
      <c r="Q25" s="25" t="n">
        <f aca="false">ROUND(P25*O25,1)</f>
        <v>66.4</v>
      </c>
      <c r="R25" s="16" t="str">
        <f aca="false">IF(Q25&gt;=70,"1 - Target now",IF(Q25&gt;=55,"2 - Target next",IF(Q25&gt;=40,"3 - Support only",IF(Q25&gt;=28,"4 - Defer","5 - Do not chase organically"))))</f>
        <v>2 - Target next</v>
      </c>
      <c r="S25" s="4" t="s">
        <v>38</v>
      </c>
      <c r="T25" s="4" t="s">
        <v>540</v>
      </c>
    </row>
    <row r="26" customFormat="false" ht="23.85" hidden="false" customHeight="false" outlineLevel="0" collapsed="false">
      <c r="A26" s="4" t="s">
        <v>541</v>
      </c>
      <c r="B26" s="10" t="s">
        <v>477</v>
      </c>
      <c r="C26" s="10" t="s">
        <v>487</v>
      </c>
      <c r="D26" s="4" t="s">
        <v>542</v>
      </c>
      <c r="E26" s="10" t="s">
        <v>523</v>
      </c>
      <c r="F26" s="22" t="s">
        <v>480</v>
      </c>
      <c r="G26" s="22" t="s">
        <v>480</v>
      </c>
      <c r="H26" s="22" t="s">
        <v>480</v>
      </c>
      <c r="I26" s="5" t="s">
        <v>481</v>
      </c>
      <c r="J26" s="10" t="n">
        <v>5</v>
      </c>
      <c r="K26" s="10" t="n">
        <v>4</v>
      </c>
      <c r="L26" s="10" t="n">
        <v>2</v>
      </c>
      <c r="M26" s="10" t="n">
        <v>4</v>
      </c>
      <c r="N26" s="12" t="s">
        <v>441</v>
      </c>
      <c r="O26" s="23" t="n">
        <f aca="false">IFERROR(INDEX('07 Scoring Model'!$B$14:$B$17,MATCH(N26,'07 Scoring Model'!$A$14:$A$17,0)),0)</f>
        <v>1</v>
      </c>
      <c r="P26" s="24" t="n">
        <f aca="false">ROUND((J26*'07 Scoring Model'!$B$5 + K26*'07 Scoring Model'!$B$6 + L26*'07 Scoring Model'!$B$7 + M26*'07 Scoring Model'!$B$8)*20,1)</f>
        <v>79</v>
      </c>
      <c r="Q26" s="25" t="n">
        <f aca="false">ROUND(P26*O26,1)</f>
        <v>79</v>
      </c>
      <c r="R26" s="16" t="str">
        <f aca="false">IF(Q26&gt;=70,"1 - Target now",IF(Q26&gt;=55,"2 - Target next",IF(Q26&gt;=40,"3 - Support only",IF(Q26&gt;=28,"4 - Defer","5 - Do not chase organically"))))</f>
        <v>1 - Target now</v>
      </c>
      <c r="S26" s="4" t="s">
        <v>38</v>
      </c>
      <c r="T26" s="4"/>
    </row>
    <row r="27" customFormat="false" ht="23.85" hidden="false" customHeight="false" outlineLevel="0" collapsed="false">
      <c r="A27" s="4" t="s">
        <v>543</v>
      </c>
      <c r="B27" s="10" t="s">
        <v>477</v>
      </c>
      <c r="C27" s="10" t="s">
        <v>513</v>
      </c>
      <c r="D27" s="4" t="s">
        <v>544</v>
      </c>
      <c r="E27" s="10" t="s">
        <v>545</v>
      </c>
      <c r="F27" s="22" t="s">
        <v>480</v>
      </c>
      <c r="G27" s="22" t="s">
        <v>480</v>
      </c>
      <c r="H27" s="22" t="s">
        <v>480</v>
      </c>
      <c r="I27" s="5" t="s">
        <v>481</v>
      </c>
      <c r="J27" s="10" t="n">
        <v>5</v>
      </c>
      <c r="K27" s="10" t="n">
        <v>4</v>
      </c>
      <c r="L27" s="10" t="n">
        <v>3</v>
      </c>
      <c r="M27" s="10" t="n">
        <v>4</v>
      </c>
      <c r="N27" s="10" t="s">
        <v>444</v>
      </c>
      <c r="O27" s="23" t="n">
        <f aca="false">IFERROR(INDEX('07 Scoring Model'!$B$14:$B$17,MATCH(N27,'07 Scoring Model'!$A$14:$A$17,0)),0)</f>
        <v>0.8</v>
      </c>
      <c r="P27" s="24" t="n">
        <f aca="false">ROUND((J27*'07 Scoring Model'!$B$5 + K27*'07 Scoring Model'!$B$6 + L27*'07 Scoring Model'!$B$7 + M27*'07 Scoring Model'!$B$8)*20,1)</f>
        <v>83</v>
      </c>
      <c r="Q27" s="25" t="n">
        <f aca="false">ROUND(P27*O27,1)</f>
        <v>66.4</v>
      </c>
      <c r="R27" s="16" t="str">
        <f aca="false">IF(Q27&gt;=70,"1 - Target now",IF(Q27&gt;=55,"2 - Target next",IF(Q27&gt;=40,"3 - Support only",IF(Q27&gt;=28,"4 - Defer","5 - Do not chase organically"))))</f>
        <v>2 - Target next</v>
      </c>
      <c r="S27" s="4" t="s">
        <v>43</v>
      </c>
      <c r="T27" s="4" t="s">
        <v>546</v>
      </c>
    </row>
    <row r="28" customFormat="false" ht="23.85" hidden="false" customHeight="false" outlineLevel="0" collapsed="false">
      <c r="A28" s="4" t="s">
        <v>547</v>
      </c>
      <c r="B28" s="10" t="s">
        <v>477</v>
      </c>
      <c r="C28" s="10" t="s">
        <v>478</v>
      </c>
      <c r="D28" s="4" t="s">
        <v>548</v>
      </c>
      <c r="E28" s="10" t="s">
        <v>545</v>
      </c>
      <c r="F28" s="22" t="s">
        <v>480</v>
      </c>
      <c r="G28" s="22" t="s">
        <v>480</v>
      </c>
      <c r="H28" s="22" t="s">
        <v>480</v>
      </c>
      <c r="I28" s="5" t="s">
        <v>481</v>
      </c>
      <c r="J28" s="10" t="n">
        <v>5</v>
      </c>
      <c r="K28" s="10" t="n">
        <v>3</v>
      </c>
      <c r="L28" s="10" t="n">
        <v>2</v>
      </c>
      <c r="M28" s="10" t="n">
        <v>3</v>
      </c>
      <c r="N28" s="12" t="s">
        <v>441</v>
      </c>
      <c r="O28" s="23" t="n">
        <f aca="false">IFERROR(INDEX('07 Scoring Model'!$B$14:$B$17,MATCH(N28,'07 Scoring Model'!$A$14:$A$17,0)),0)</f>
        <v>1</v>
      </c>
      <c r="P28" s="24" t="n">
        <f aca="false">ROUND((J28*'07 Scoring Model'!$B$5 + K28*'07 Scoring Model'!$B$6 + L28*'07 Scoring Model'!$B$7 + M28*'07 Scoring Model'!$B$8)*20,1)</f>
        <v>70</v>
      </c>
      <c r="Q28" s="25" t="n">
        <f aca="false">ROUND(P28*O28,1)</f>
        <v>70</v>
      </c>
      <c r="R28" s="16" t="str">
        <f aca="false">IF(Q28&gt;=70,"1 - Target now",IF(Q28&gt;=55,"2 - Target next",IF(Q28&gt;=40,"3 - Support only",IF(Q28&gt;=28,"4 - Defer","5 - Do not chase organically"))))</f>
        <v>1 - Target now</v>
      </c>
      <c r="S28" s="4" t="s">
        <v>38</v>
      </c>
      <c r="T28" s="4" t="s">
        <v>549</v>
      </c>
    </row>
    <row r="29" customFormat="false" ht="23.85" hidden="false" customHeight="false" outlineLevel="0" collapsed="false">
      <c r="A29" s="4" t="s">
        <v>550</v>
      </c>
      <c r="B29" s="10" t="s">
        <v>493</v>
      </c>
      <c r="C29" s="10" t="s">
        <v>513</v>
      </c>
      <c r="D29" s="4" t="s">
        <v>551</v>
      </c>
      <c r="E29" s="10" t="s">
        <v>497</v>
      </c>
      <c r="F29" s="22" t="s">
        <v>480</v>
      </c>
      <c r="G29" s="22" t="s">
        <v>480</v>
      </c>
      <c r="H29" s="22" t="s">
        <v>480</v>
      </c>
      <c r="I29" s="5" t="s">
        <v>481</v>
      </c>
      <c r="J29" s="10" t="n">
        <v>4</v>
      </c>
      <c r="K29" s="10" t="n">
        <v>4</v>
      </c>
      <c r="L29" s="10" t="n">
        <v>4</v>
      </c>
      <c r="M29" s="10" t="n">
        <v>4</v>
      </c>
      <c r="N29" s="10" t="s">
        <v>444</v>
      </c>
      <c r="O29" s="23" t="n">
        <f aca="false">IFERROR(INDEX('07 Scoring Model'!$B$14:$B$17,MATCH(N29,'07 Scoring Model'!$A$14:$A$17,0)),0)</f>
        <v>0.8</v>
      </c>
      <c r="P29" s="24" t="n">
        <f aca="false">ROUND((J29*'07 Scoring Model'!$B$5 + K29*'07 Scoring Model'!$B$6 + L29*'07 Scoring Model'!$B$7 + M29*'07 Scoring Model'!$B$8)*20,1)</f>
        <v>80</v>
      </c>
      <c r="Q29" s="25" t="n">
        <f aca="false">ROUND(P29*O29,1)</f>
        <v>64</v>
      </c>
      <c r="R29" s="16" t="str">
        <f aca="false">IF(Q29&gt;=70,"1 - Target now",IF(Q29&gt;=55,"2 - Target next",IF(Q29&gt;=40,"3 - Support only",IF(Q29&gt;=28,"4 - Defer","5 - Do not chase organically"))))</f>
        <v>2 - Target next</v>
      </c>
      <c r="S29" s="4" t="s">
        <v>43</v>
      </c>
      <c r="T29" s="4" t="s">
        <v>552</v>
      </c>
    </row>
    <row r="30" customFormat="false" ht="23.85" hidden="false" customHeight="false" outlineLevel="0" collapsed="false">
      <c r="A30" s="4" t="s">
        <v>553</v>
      </c>
      <c r="B30" s="10" t="s">
        <v>477</v>
      </c>
      <c r="C30" s="10" t="s">
        <v>513</v>
      </c>
      <c r="D30" s="4" t="s">
        <v>554</v>
      </c>
      <c r="E30" s="10" t="s">
        <v>337</v>
      </c>
      <c r="F30" s="22" t="s">
        <v>480</v>
      </c>
      <c r="G30" s="22" t="s">
        <v>480</v>
      </c>
      <c r="H30" s="22" t="s">
        <v>480</v>
      </c>
      <c r="I30" s="5" t="s">
        <v>481</v>
      </c>
      <c r="J30" s="10" t="n">
        <v>5</v>
      </c>
      <c r="K30" s="10" t="n">
        <v>5</v>
      </c>
      <c r="L30" s="10" t="n">
        <v>4</v>
      </c>
      <c r="M30" s="10" t="n">
        <v>5</v>
      </c>
      <c r="N30" s="13" t="s">
        <v>450</v>
      </c>
      <c r="O30" s="23" t="n">
        <f aca="false">IFERROR(INDEX('07 Scoring Model'!$B$14:$B$17,MATCH(N30,'07 Scoring Model'!$A$14:$A$17,0)),0)</f>
        <v>0.25</v>
      </c>
      <c r="P30" s="24" t="n">
        <f aca="false">ROUND((J30*'07 Scoring Model'!$B$5 + K30*'07 Scoring Model'!$B$6 + L30*'07 Scoring Model'!$B$7 + M30*'07 Scoring Model'!$B$8)*20,1)</f>
        <v>96</v>
      </c>
      <c r="Q30" s="25" t="n">
        <f aca="false">ROUND(P30*O30,1)</f>
        <v>24</v>
      </c>
      <c r="R30" s="16" t="str">
        <f aca="false">IF(Q30&gt;=70,"1 - Target now",IF(Q30&gt;=55,"2 - Target next",IF(Q30&gt;=40,"3 - Support only",IF(Q30&gt;=28,"4 - Defer","5 - Do not chase organically"))))</f>
        <v>5 - Do not chase organically</v>
      </c>
      <c r="S30" s="4" t="s">
        <v>43</v>
      </c>
      <c r="T30" s="4" t="s">
        <v>555</v>
      </c>
    </row>
    <row r="31" customFormat="false" ht="23.85" hidden="false" customHeight="false" outlineLevel="0" collapsed="false">
      <c r="A31" s="4" t="s">
        <v>556</v>
      </c>
      <c r="B31" s="10" t="s">
        <v>477</v>
      </c>
      <c r="C31" s="10" t="s">
        <v>478</v>
      </c>
      <c r="D31" s="4" t="s">
        <v>554</v>
      </c>
      <c r="E31" s="10" t="s">
        <v>337</v>
      </c>
      <c r="F31" s="22" t="s">
        <v>480</v>
      </c>
      <c r="G31" s="22" t="s">
        <v>480</v>
      </c>
      <c r="H31" s="22" t="s">
        <v>480</v>
      </c>
      <c r="I31" s="5" t="s">
        <v>481</v>
      </c>
      <c r="J31" s="10" t="n">
        <v>5</v>
      </c>
      <c r="K31" s="10" t="n">
        <v>5</v>
      </c>
      <c r="L31" s="10" t="n">
        <v>4</v>
      </c>
      <c r="M31" s="10" t="n">
        <v>5</v>
      </c>
      <c r="N31" s="13" t="s">
        <v>450</v>
      </c>
      <c r="O31" s="23" t="n">
        <f aca="false">IFERROR(INDEX('07 Scoring Model'!$B$14:$B$17,MATCH(N31,'07 Scoring Model'!$A$14:$A$17,0)),0)</f>
        <v>0.25</v>
      </c>
      <c r="P31" s="24" t="n">
        <f aca="false">ROUND((J31*'07 Scoring Model'!$B$5 + K31*'07 Scoring Model'!$B$6 + L31*'07 Scoring Model'!$B$7 + M31*'07 Scoring Model'!$B$8)*20,1)</f>
        <v>96</v>
      </c>
      <c r="Q31" s="25" t="n">
        <f aca="false">ROUND(P31*O31,1)</f>
        <v>24</v>
      </c>
      <c r="R31" s="16" t="str">
        <f aca="false">IF(Q31&gt;=70,"1 - Target now",IF(Q31&gt;=55,"2 - Target next",IF(Q31&gt;=40,"3 - Support only",IF(Q31&gt;=28,"4 - Defer","5 - Do not chase organically"))))</f>
        <v>5 - Do not chase organically</v>
      </c>
      <c r="S31" s="4" t="s">
        <v>38</v>
      </c>
      <c r="T31" s="4" t="s">
        <v>557</v>
      </c>
    </row>
    <row r="32" customFormat="false" ht="23.85" hidden="false" customHeight="false" outlineLevel="0" collapsed="false">
      <c r="A32" s="4" t="s">
        <v>558</v>
      </c>
      <c r="B32" s="10" t="s">
        <v>477</v>
      </c>
      <c r="C32" s="10" t="s">
        <v>487</v>
      </c>
      <c r="D32" s="4" t="s">
        <v>559</v>
      </c>
      <c r="E32" s="10" t="s">
        <v>523</v>
      </c>
      <c r="F32" s="22" t="s">
        <v>480</v>
      </c>
      <c r="G32" s="22" t="s">
        <v>480</v>
      </c>
      <c r="H32" s="22" t="s">
        <v>480</v>
      </c>
      <c r="I32" s="5" t="s">
        <v>481</v>
      </c>
      <c r="J32" s="10" t="n">
        <v>5</v>
      </c>
      <c r="K32" s="10" t="n">
        <v>4</v>
      </c>
      <c r="L32" s="10" t="n">
        <v>3</v>
      </c>
      <c r="M32" s="10" t="n">
        <v>4</v>
      </c>
      <c r="N32" s="10" t="s">
        <v>447</v>
      </c>
      <c r="O32" s="23" t="n">
        <f aca="false">IFERROR(INDEX('07 Scoring Model'!$B$14:$B$17,MATCH(N32,'07 Scoring Model'!$A$14:$A$17,0)),0)</f>
        <v>0.55</v>
      </c>
      <c r="P32" s="24" t="n">
        <f aca="false">ROUND((J32*'07 Scoring Model'!$B$5 + K32*'07 Scoring Model'!$B$6 + L32*'07 Scoring Model'!$B$7 + M32*'07 Scoring Model'!$B$8)*20,1)</f>
        <v>83</v>
      </c>
      <c r="Q32" s="25" t="n">
        <f aca="false">ROUND(P32*O32,1)</f>
        <v>45.7</v>
      </c>
      <c r="R32" s="16" t="str">
        <f aca="false">IF(Q32&gt;=70,"1 - Target now",IF(Q32&gt;=55,"2 - Target next",IF(Q32&gt;=40,"3 - Support only",IF(Q32&gt;=28,"4 - Defer","5 - Do not chase organically"))))</f>
        <v>3 - Support only</v>
      </c>
      <c r="S32" s="4" t="s">
        <v>43</v>
      </c>
      <c r="T32" s="4" t="s">
        <v>560</v>
      </c>
    </row>
    <row r="33" customFormat="false" ht="23.85" hidden="false" customHeight="false" outlineLevel="0" collapsed="false">
      <c r="A33" s="4" t="s">
        <v>561</v>
      </c>
      <c r="B33" s="10" t="s">
        <v>477</v>
      </c>
      <c r="C33" s="10" t="s">
        <v>487</v>
      </c>
      <c r="D33" s="4" t="s">
        <v>562</v>
      </c>
      <c r="E33" s="10" t="s">
        <v>545</v>
      </c>
      <c r="F33" s="22" t="s">
        <v>480</v>
      </c>
      <c r="G33" s="22" t="s">
        <v>480</v>
      </c>
      <c r="H33" s="22" t="s">
        <v>480</v>
      </c>
      <c r="I33" s="5" t="s">
        <v>481</v>
      </c>
      <c r="J33" s="10" t="n">
        <v>5</v>
      </c>
      <c r="K33" s="10" t="n">
        <v>4</v>
      </c>
      <c r="L33" s="10" t="n">
        <v>3</v>
      </c>
      <c r="M33" s="10" t="n">
        <v>4</v>
      </c>
      <c r="N33" s="10" t="s">
        <v>447</v>
      </c>
      <c r="O33" s="23" t="n">
        <f aca="false">IFERROR(INDEX('07 Scoring Model'!$B$14:$B$17,MATCH(N33,'07 Scoring Model'!$A$14:$A$17,0)),0)</f>
        <v>0.55</v>
      </c>
      <c r="P33" s="24" t="n">
        <f aca="false">ROUND((J33*'07 Scoring Model'!$B$5 + K33*'07 Scoring Model'!$B$6 + L33*'07 Scoring Model'!$B$7 + M33*'07 Scoring Model'!$B$8)*20,1)</f>
        <v>83</v>
      </c>
      <c r="Q33" s="25" t="n">
        <f aca="false">ROUND(P33*O33,1)</f>
        <v>45.7</v>
      </c>
      <c r="R33" s="16" t="str">
        <f aca="false">IF(Q33&gt;=70,"1 - Target now",IF(Q33&gt;=55,"2 - Target next",IF(Q33&gt;=40,"3 - Support only",IF(Q33&gt;=28,"4 - Defer","5 - Do not chase organically"))))</f>
        <v>3 - Support only</v>
      </c>
      <c r="S33" s="4" t="s">
        <v>43</v>
      </c>
      <c r="T33" s="4" t="s">
        <v>563</v>
      </c>
    </row>
    <row r="34" customFormat="false" ht="23.85" hidden="false" customHeight="false" outlineLevel="0" collapsed="false">
      <c r="A34" s="4" t="s">
        <v>564</v>
      </c>
      <c r="B34" s="10" t="s">
        <v>477</v>
      </c>
      <c r="C34" s="10" t="s">
        <v>478</v>
      </c>
      <c r="D34" s="4" t="s">
        <v>565</v>
      </c>
      <c r="E34" s="10" t="s">
        <v>523</v>
      </c>
      <c r="F34" s="22" t="s">
        <v>480</v>
      </c>
      <c r="G34" s="22" t="s">
        <v>480</v>
      </c>
      <c r="H34" s="22" t="s">
        <v>480</v>
      </c>
      <c r="I34" s="5" t="s">
        <v>481</v>
      </c>
      <c r="J34" s="10" t="n">
        <v>5</v>
      </c>
      <c r="K34" s="10" t="n">
        <v>4</v>
      </c>
      <c r="L34" s="10" t="n">
        <v>3</v>
      </c>
      <c r="M34" s="10" t="n">
        <v>4</v>
      </c>
      <c r="N34" s="10" t="s">
        <v>444</v>
      </c>
      <c r="O34" s="23" t="n">
        <f aca="false">IFERROR(INDEX('07 Scoring Model'!$B$14:$B$17,MATCH(N34,'07 Scoring Model'!$A$14:$A$17,0)),0)</f>
        <v>0.8</v>
      </c>
      <c r="P34" s="24" t="n">
        <f aca="false">ROUND((J34*'07 Scoring Model'!$B$5 + K34*'07 Scoring Model'!$B$6 + L34*'07 Scoring Model'!$B$7 + M34*'07 Scoring Model'!$B$8)*20,1)</f>
        <v>83</v>
      </c>
      <c r="Q34" s="25" t="n">
        <f aca="false">ROUND(P34*O34,1)</f>
        <v>66.4</v>
      </c>
      <c r="R34" s="16" t="str">
        <f aca="false">IF(Q34&gt;=70,"1 - Target now",IF(Q34&gt;=55,"2 - Target next",IF(Q34&gt;=40,"3 - Support only",IF(Q34&gt;=28,"4 - Defer","5 - Do not chase organically"))))</f>
        <v>2 - Target next</v>
      </c>
      <c r="S34" s="4" t="s">
        <v>43</v>
      </c>
      <c r="T34" s="4" t="s">
        <v>566</v>
      </c>
    </row>
    <row r="35" customFormat="false" ht="23.85" hidden="false" customHeight="false" outlineLevel="0" collapsed="false">
      <c r="A35" s="4" t="s">
        <v>567</v>
      </c>
      <c r="B35" s="10" t="s">
        <v>477</v>
      </c>
      <c r="C35" s="10" t="s">
        <v>513</v>
      </c>
      <c r="D35" s="4" t="s">
        <v>568</v>
      </c>
      <c r="E35" s="10" t="s">
        <v>523</v>
      </c>
      <c r="F35" s="22" t="s">
        <v>480</v>
      </c>
      <c r="G35" s="22" t="s">
        <v>480</v>
      </c>
      <c r="H35" s="22" t="s">
        <v>480</v>
      </c>
      <c r="I35" s="5" t="s">
        <v>481</v>
      </c>
      <c r="J35" s="10" t="n">
        <v>5</v>
      </c>
      <c r="K35" s="10" t="n">
        <v>4</v>
      </c>
      <c r="L35" s="10" t="n">
        <v>3</v>
      </c>
      <c r="M35" s="10" t="n">
        <v>4</v>
      </c>
      <c r="N35" s="10" t="s">
        <v>447</v>
      </c>
      <c r="O35" s="23" t="n">
        <f aca="false">IFERROR(INDEX('07 Scoring Model'!$B$14:$B$17,MATCH(N35,'07 Scoring Model'!$A$14:$A$17,0)),0)</f>
        <v>0.55</v>
      </c>
      <c r="P35" s="24" t="n">
        <f aca="false">ROUND((J35*'07 Scoring Model'!$B$5 + K35*'07 Scoring Model'!$B$6 + L35*'07 Scoring Model'!$B$7 + M35*'07 Scoring Model'!$B$8)*20,1)</f>
        <v>83</v>
      </c>
      <c r="Q35" s="25" t="n">
        <f aca="false">ROUND(P35*O35,1)</f>
        <v>45.7</v>
      </c>
      <c r="R35" s="16" t="str">
        <f aca="false">IF(Q35&gt;=70,"1 - Target now",IF(Q35&gt;=55,"2 - Target next",IF(Q35&gt;=40,"3 - Support only",IF(Q35&gt;=28,"4 - Defer","5 - Do not chase organically"))))</f>
        <v>3 - Support only</v>
      </c>
      <c r="S35" s="4" t="s">
        <v>43</v>
      </c>
      <c r="T35" s="4" t="s">
        <v>560</v>
      </c>
    </row>
    <row r="36" customFormat="false" ht="23.85" hidden="false" customHeight="false" outlineLevel="0" collapsed="false">
      <c r="A36" s="4" t="s">
        <v>569</v>
      </c>
      <c r="B36" s="10" t="s">
        <v>477</v>
      </c>
      <c r="C36" s="10" t="s">
        <v>478</v>
      </c>
      <c r="D36" s="4" t="s">
        <v>503</v>
      </c>
      <c r="E36" s="10" t="s">
        <v>337</v>
      </c>
      <c r="F36" s="22" t="s">
        <v>480</v>
      </c>
      <c r="G36" s="22" t="s">
        <v>480</v>
      </c>
      <c r="H36" s="22" t="s">
        <v>480</v>
      </c>
      <c r="I36" s="5" t="s">
        <v>481</v>
      </c>
      <c r="J36" s="10" t="n">
        <v>5</v>
      </c>
      <c r="K36" s="10" t="n">
        <v>4</v>
      </c>
      <c r="L36" s="10" t="n">
        <v>4</v>
      </c>
      <c r="M36" s="10" t="n">
        <v>4</v>
      </c>
      <c r="N36" s="10" t="s">
        <v>447</v>
      </c>
      <c r="O36" s="23" t="n">
        <f aca="false">IFERROR(INDEX('07 Scoring Model'!$B$14:$B$17,MATCH(N36,'07 Scoring Model'!$A$14:$A$17,0)),0)</f>
        <v>0.55</v>
      </c>
      <c r="P36" s="24" t="n">
        <f aca="false">ROUND((J36*'07 Scoring Model'!$B$5 + K36*'07 Scoring Model'!$B$6 + L36*'07 Scoring Model'!$B$7 + M36*'07 Scoring Model'!$B$8)*20,1)</f>
        <v>87</v>
      </c>
      <c r="Q36" s="25" t="n">
        <f aca="false">ROUND(P36*O36,1)</f>
        <v>47.9</v>
      </c>
      <c r="R36" s="16" t="str">
        <f aca="false">IF(Q36&gt;=70,"1 - Target now",IF(Q36&gt;=55,"2 - Target next",IF(Q36&gt;=40,"3 - Support only",IF(Q36&gt;=28,"4 - Defer","5 - Do not chase organically"))))</f>
        <v>3 - Support only</v>
      </c>
      <c r="S36" s="4" t="s">
        <v>38</v>
      </c>
      <c r="T36" s="4" t="s">
        <v>570</v>
      </c>
    </row>
    <row r="37" customFormat="false" ht="23.85" hidden="false" customHeight="false" outlineLevel="0" collapsed="false">
      <c r="A37" s="4" t="s">
        <v>571</v>
      </c>
      <c r="B37" s="10" t="s">
        <v>493</v>
      </c>
      <c r="C37" s="10" t="s">
        <v>478</v>
      </c>
      <c r="D37" s="4" t="s">
        <v>572</v>
      </c>
      <c r="E37" s="10" t="s">
        <v>497</v>
      </c>
      <c r="F37" s="22" t="s">
        <v>480</v>
      </c>
      <c r="G37" s="22" t="s">
        <v>480</v>
      </c>
      <c r="H37" s="22" t="s">
        <v>480</v>
      </c>
      <c r="I37" s="5" t="s">
        <v>481</v>
      </c>
      <c r="J37" s="10" t="n">
        <v>4</v>
      </c>
      <c r="K37" s="10" t="n">
        <v>4</v>
      </c>
      <c r="L37" s="10" t="n">
        <v>4</v>
      </c>
      <c r="M37" s="10" t="n">
        <v>4</v>
      </c>
      <c r="N37" s="10" t="s">
        <v>444</v>
      </c>
      <c r="O37" s="23" t="n">
        <f aca="false">IFERROR(INDEX('07 Scoring Model'!$B$14:$B$17,MATCH(N37,'07 Scoring Model'!$A$14:$A$17,0)),0)</f>
        <v>0.8</v>
      </c>
      <c r="P37" s="24" t="n">
        <f aca="false">ROUND((J37*'07 Scoring Model'!$B$5 + K37*'07 Scoring Model'!$B$6 + L37*'07 Scoring Model'!$B$7 + M37*'07 Scoring Model'!$B$8)*20,1)</f>
        <v>80</v>
      </c>
      <c r="Q37" s="25" t="n">
        <f aca="false">ROUND(P37*O37,1)</f>
        <v>64</v>
      </c>
      <c r="R37" s="16" t="str">
        <f aca="false">IF(Q37&gt;=70,"1 - Target now",IF(Q37&gt;=55,"2 - Target next",IF(Q37&gt;=40,"3 - Support only",IF(Q37&gt;=28,"4 - Defer","5 - Do not chase organically"))))</f>
        <v>2 - Target next</v>
      </c>
      <c r="S37" s="4" t="s">
        <v>43</v>
      </c>
      <c r="T37" s="4" t="s">
        <v>560</v>
      </c>
    </row>
    <row r="38" customFormat="false" ht="23.85" hidden="false" customHeight="false" outlineLevel="0" collapsed="false">
      <c r="A38" s="4" t="s">
        <v>573</v>
      </c>
      <c r="B38" s="10" t="s">
        <v>477</v>
      </c>
      <c r="C38" s="10" t="s">
        <v>513</v>
      </c>
      <c r="D38" s="4" t="s">
        <v>574</v>
      </c>
      <c r="E38" s="10" t="s">
        <v>575</v>
      </c>
      <c r="F38" s="22" t="s">
        <v>480</v>
      </c>
      <c r="G38" s="22" t="s">
        <v>480</v>
      </c>
      <c r="H38" s="22" t="s">
        <v>480</v>
      </c>
      <c r="I38" s="5" t="s">
        <v>481</v>
      </c>
      <c r="J38" s="10" t="n">
        <v>5</v>
      </c>
      <c r="K38" s="10" t="n">
        <v>4</v>
      </c>
      <c r="L38" s="10" t="n">
        <v>2</v>
      </c>
      <c r="M38" s="10" t="n">
        <v>4</v>
      </c>
      <c r="N38" s="10" t="s">
        <v>444</v>
      </c>
      <c r="O38" s="23" t="n">
        <f aca="false">IFERROR(INDEX('07 Scoring Model'!$B$14:$B$17,MATCH(N38,'07 Scoring Model'!$A$14:$A$17,0)),0)</f>
        <v>0.8</v>
      </c>
      <c r="P38" s="24" t="n">
        <f aca="false">ROUND((J38*'07 Scoring Model'!$B$5 + K38*'07 Scoring Model'!$B$6 + L38*'07 Scoring Model'!$B$7 + M38*'07 Scoring Model'!$B$8)*20,1)</f>
        <v>79</v>
      </c>
      <c r="Q38" s="25" t="n">
        <f aca="false">ROUND(P38*O38,1)</f>
        <v>63.2</v>
      </c>
      <c r="R38" s="16" t="str">
        <f aca="false">IF(Q38&gt;=70,"1 - Target now",IF(Q38&gt;=55,"2 - Target next",IF(Q38&gt;=40,"3 - Support only",IF(Q38&gt;=28,"4 - Defer","5 - Do not chase organically"))))</f>
        <v>2 - Target next</v>
      </c>
      <c r="S38" s="4" t="s">
        <v>43</v>
      </c>
      <c r="T38" s="4" t="s">
        <v>576</v>
      </c>
    </row>
    <row r="39" customFormat="false" ht="23.85" hidden="false" customHeight="false" outlineLevel="0" collapsed="false">
      <c r="A39" s="4" t="s">
        <v>577</v>
      </c>
      <c r="B39" s="10" t="s">
        <v>477</v>
      </c>
      <c r="C39" s="10" t="s">
        <v>478</v>
      </c>
      <c r="D39" s="4" t="s">
        <v>578</v>
      </c>
      <c r="E39" s="10" t="s">
        <v>575</v>
      </c>
      <c r="F39" s="22" t="s">
        <v>480</v>
      </c>
      <c r="G39" s="22" t="s">
        <v>480</v>
      </c>
      <c r="H39" s="22" t="s">
        <v>480</v>
      </c>
      <c r="I39" s="5" t="s">
        <v>481</v>
      </c>
      <c r="J39" s="10" t="n">
        <v>5</v>
      </c>
      <c r="K39" s="10" t="n">
        <v>4</v>
      </c>
      <c r="L39" s="10" t="n">
        <v>2</v>
      </c>
      <c r="M39" s="10" t="n">
        <v>4</v>
      </c>
      <c r="N39" s="12" t="s">
        <v>441</v>
      </c>
      <c r="O39" s="23" t="n">
        <f aca="false">IFERROR(INDEX('07 Scoring Model'!$B$14:$B$17,MATCH(N39,'07 Scoring Model'!$A$14:$A$17,0)),0)</f>
        <v>1</v>
      </c>
      <c r="P39" s="24" t="n">
        <f aca="false">ROUND((J39*'07 Scoring Model'!$B$5 + K39*'07 Scoring Model'!$B$6 + L39*'07 Scoring Model'!$B$7 + M39*'07 Scoring Model'!$B$8)*20,1)</f>
        <v>79</v>
      </c>
      <c r="Q39" s="25" t="n">
        <f aca="false">ROUND(P39*O39,1)</f>
        <v>79</v>
      </c>
      <c r="R39" s="16" t="str">
        <f aca="false">IF(Q39&gt;=70,"1 - Target now",IF(Q39&gt;=55,"2 - Target next",IF(Q39&gt;=40,"3 - Support only",IF(Q39&gt;=28,"4 - Defer","5 - Do not chase organically"))))</f>
        <v>1 - Target now</v>
      </c>
      <c r="S39" s="4" t="s">
        <v>482</v>
      </c>
      <c r="T39" s="4" t="s">
        <v>579</v>
      </c>
    </row>
    <row r="40" customFormat="false" ht="23.85" hidden="false" customHeight="false" outlineLevel="0" collapsed="false">
      <c r="A40" s="4" t="s">
        <v>580</v>
      </c>
      <c r="B40" s="10" t="s">
        <v>477</v>
      </c>
      <c r="C40" s="10" t="s">
        <v>478</v>
      </c>
      <c r="D40" s="4" t="s">
        <v>581</v>
      </c>
      <c r="E40" s="10" t="s">
        <v>575</v>
      </c>
      <c r="F40" s="22" t="s">
        <v>480</v>
      </c>
      <c r="G40" s="22" t="s">
        <v>480</v>
      </c>
      <c r="H40" s="22" t="s">
        <v>480</v>
      </c>
      <c r="I40" s="5" t="s">
        <v>481</v>
      </c>
      <c r="J40" s="10" t="n">
        <v>5</v>
      </c>
      <c r="K40" s="10" t="n">
        <v>4</v>
      </c>
      <c r="L40" s="10" t="n">
        <v>2</v>
      </c>
      <c r="M40" s="10" t="n">
        <v>4</v>
      </c>
      <c r="N40" s="12" t="s">
        <v>441</v>
      </c>
      <c r="O40" s="23" t="n">
        <f aca="false">IFERROR(INDEX('07 Scoring Model'!$B$14:$B$17,MATCH(N40,'07 Scoring Model'!$A$14:$A$17,0)),0)</f>
        <v>1</v>
      </c>
      <c r="P40" s="24" t="n">
        <f aca="false">ROUND((J40*'07 Scoring Model'!$B$5 + K40*'07 Scoring Model'!$B$6 + L40*'07 Scoring Model'!$B$7 + M40*'07 Scoring Model'!$B$8)*20,1)</f>
        <v>79</v>
      </c>
      <c r="Q40" s="25" t="n">
        <f aca="false">ROUND(P40*O40,1)</f>
        <v>79</v>
      </c>
      <c r="R40" s="16" t="str">
        <f aca="false">IF(Q40&gt;=70,"1 - Target now",IF(Q40&gt;=55,"2 - Target next",IF(Q40&gt;=40,"3 - Support only",IF(Q40&gt;=28,"4 - Defer","5 - Do not chase organically"))))</f>
        <v>1 - Target now</v>
      </c>
      <c r="S40" s="4" t="s">
        <v>482</v>
      </c>
      <c r="T40" s="4"/>
    </row>
    <row r="41" customFormat="false" ht="23.85" hidden="false" customHeight="false" outlineLevel="0" collapsed="false">
      <c r="A41" s="4" t="s">
        <v>582</v>
      </c>
      <c r="B41" s="10" t="s">
        <v>477</v>
      </c>
      <c r="C41" s="10" t="s">
        <v>487</v>
      </c>
      <c r="D41" s="4" t="s">
        <v>583</v>
      </c>
      <c r="E41" s="10" t="s">
        <v>575</v>
      </c>
      <c r="F41" s="22" t="s">
        <v>480</v>
      </c>
      <c r="G41" s="22" t="s">
        <v>480</v>
      </c>
      <c r="H41" s="22" t="s">
        <v>480</v>
      </c>
      <c r="I41" s="5" t="s">
        <v>481</v>
      </c>
      <c r="J41" s="10" t="n">
        <v>5</v>
      </c>
      <c r="K41" s="10" t="n">
        <v>5</v>
      </c>
      <c r="L41" s="10" t="n">
        <v>2</v>
      </c>
      <c r="M41" s="10" t="n">
        <v>4</v>
      </c>
      <c r="N41" s="10" t="s">
        <v>444</v>
      </c>
      <c r="O41" s="23" t="n">
        <f aca="false">IFERROR(INDEX('07 Scoring Model'!$B$14:$B$17,MATCH(N41,'07 Scoring Model'!$A$14:$A$17,0)),0)</f>
        <v>0.8</v>
      </c>
      <c r="P41" s="24" t="n">
        <f aca="false">ROUND((J41*'07 Scoring Model'!$B$5 + K41*'07 Scoring Model'!$B$6 + L41*'07 Scoring Model'!$B$7 + M41*'07 Scoring Model'!$B$8)*20,1)</f>
        <v>85</v>
      </c>
      <c r="Q41" s="25" t="n">
        <f aca="false">ROUND(P41*O41,1)</f>
        <v>68</v>
      </c>
      <c r="R41" s="16" t="str">
        <f aca="false">IF(Q41&gt;=70,"1 - Target now",IF(Q41&gt;=55,"2 - Target next",IF(Q41&gt;=40,"3 - Support only",IF(Q41&gt;=28,"4 - Defer","5 - Do not chase organically"))))</f>
        <v>2 - Target next</v>
      </c>
      <c r="S41" s="4" t="s">
        <v>38</v>
      </c>
      <c r="T41" s="4" t="s">
        <v>584</v>
      </c>
    </row>
    <row r="42" customFormat="false" ht="23.85" hidden="false" customHeight="false" outlineLevel="0" collapsed="false">
      <c r="A42" s="4" t="s">
        <v>585</v>
      </c>
      <c r="B42" s="10" t="s">
        <v>477</v>
      </c>
      <c r="C42" s="10" t="s">
        <v>478</v>
      </c>
      <c r="D42" s="4" t="s">
        <v>586</v>
      </c>
      <c r="E42" s="10" t="s">
        <v>587</v>
      </c>
      <c r="F42" s="22" t="s">
        <v>480</v>
      </c>
      <c r="G42" s="22" t="s">
        <v>480</v>
      </c>
      <c r="H42" s="22" t="s">
        <v>480</v>
      </c>
      <c r="I42" s="5" t="s">
        <v>481</v>
      </c>
      <c r="J42" s="10" t="n">
        <v>5</v>
      </c>
      <c r="K42" s="10" t="n">
        <v>5</v>
      </c>
      <c r="L42" s="10" t="n">
        <v>3</v>
      </c>
      <c r="M42" s="10" t="n">
        <v>5</v>
      </c>
      <c r="N42" s="10" t="s">
        <v>444</v>
      </c>
      <c r="O42" s="23" t="n">
        <f aca="false">IFERROR(INDEX('07 Scoring Model'!$B$14:$B$17,MATCH(N42,'07 Scoring Model'!$A$14:$A$17,0)),0)</f>
        <v>0.8</v>
      </c>
      <c r="P42" s="24" t="n">
        <f aca="false">ROUND((J42*'07 Scoring Model'!$B$5 + K42*'07 Scoring Model'!$B$6 + L42*'07 Scoring Model'!$B$7 + M42*'07 Scoring Model'!$B$8)*20,1)</f>
        <v>92</v>
      </c>
      <c r="Q42" s="25" t="n">
        <f aca="false">ROUND(P42*O42,1)</f>
        <v>73.6</v>
      </c>
      <c r="R42" s="16" t="str">
        <f aca="false">IF(Q42&gt;=70,"1 - Target now",IF(Q42&gt;=55,"2 - Target next",IF(Q42&gt;=40,"3 - Support only",IF(Q42&gt;=28,"4 - Defer","5 - Do not chase organically"))))</f>
        <v>1 - Target now</v>
      </c>
      <c r="S42" s="4" t="s">
        <v>38</v>
      </c>
      <c r="T42" s="4"/>
    </row>
    <row r="43" customFormat="false" ht="23.85" hidden="false" customHeight="false" outlineLevel="0" collapsed="false">
      <c r="A43" s="4" t="s">
        <v>588</v>
      </c>
      <c r="B43" s="10" t="s">
        <v>477</v>
      </c>
      <c r="C43" s="10" t="s">
        <v>478</v>
      </c>
      <c r="D43" s="4" t="s">
        <v>586</v>
      </c>
      <c r="E43" s="10" t="s">
        <v>587</v>
      </c>
      <c r="F43" s="22" t="s">
        <v>480</v>
      </c>
      <c r="G43" s="22" t="s">
        <v>480</v>
      </c>
      <c r="H43" s="22" t="s">
        <v>480</v>
      </c>
      <c r="I43" s="5" t="s">
        <v>481</v>
      </c>
      <c r="J43" s="10" t="n">
        <v>4</v>
      </c>
      <c r="K43" s="10" t="n">
        <v>5</v>
      </c>
      <c r="L43" s="10" t="n">
        <v>1</v>
      </c>
      <c r="M43" s="10" t="n">
        <v>5</v>
      </c>
      <c r="N43" s="12" t="s">
        <v>441</v>
      </c>
      <c r="O43" s="23" t="n">
        <f aca="false">IFERROR(INDEX('07 Scoring Model'!$B$14:$B$17,MATCH(N43,'07 Scoring Model'!$A$14:$A$17,0)),0)</f>
        <v>1</v>
      </c>
      <c r="P43" s="24" t="n">
        <f aca="false">ROUND((J43*'07 Scoring Model'!$B$5 + K43*'07 Scoring Model'!$B$6 + L43*'07 Scoring Model'!$B$7 + M43*'07 Scoring Model'!$B$8)*20,1)</f>
        <v>77</v>
      </c>
      <c r="Q43" s="25" t="n">
        <f aca="false">ROUND(P43*O43,1)</f>
        <v>77</v>
      </c>
      <c r="R43" s="16" t="str">
        <f aca="false">IF(Q43&gt;=70,"1 - Target now",IF(Q43&gt;=55,"2 - Target next",IF(Q43&gt;=40,"3 - Support only",IF(Q43&gt;=28,"4 - Defer","5 - Do not chase organically"))))</f>
        <v>1 - Target now</v>
      </c>
      <c r="S43" s="4" t="s">
        <v>35</v>
      </c>
      <c r="T43" s="4" t="s">
        <v>589</v>
      </c>
    </row>
    <row r="44" customFormat="false" ht="23.85" hidden="false" customHeight="false" outlineLevel="0" collapsed="false">
      <c r="A44" s="4" t="s">
        <v>590</v>
      </c>
      <c r="B44" s="10" t="s">
        <v>477</v>
      </c>
      <c r="C44" s="10" t="s">
        <v>487</v>
      </c>
      <c r="D44" s="4" t="s">
        <v>591</v>
      </c>
      <c r="E44" s="10" t="s">
        <v>523</v>
      </c>
      <c r="F44" s="22" t="s">
        <v>480</v>
      </c>
      <c r="G44" s="22" t="s">
        <v>480</v>
      </c>
      <c r="H44" s="22" t="s">
        <v>480</v>
      </c>
      <c r="I44" s="5" t="s">
        <v>481</v>
      </c>
      <c r="J44" s="10" t="n">
        <v>5</v>
      </c>
      <c r="K44" s="10" t="n">
        <v>4</v>
      </c>
      <c r="L44" s="10" t="n">
        <v>3</v>
      </c>
      <c r="M44" s="10" t="n">
        <v>4</v>
      </c>
      <c r="N44" s="10" t="s">
        <v>447</v>
      </c>
      <c r="O44" s="23" t="n">
        <f aca="false">IFERROR(INDEX('07 Scoring Model'!$B$14:$B$17,MATCH(N44,'07 Scoring Model'!$A$14:$A$17,0)),0)</f>
        <v>0.55</v>
      </c>
      <c r="P44" s="24" t="n">
        <f aca="false">ROUND((J44*'07 Scoring Model'!$B$5 + K44*'07 Scoring Model'!$B$6 + L44*'07 Scoring Model'!$B$7 + M44*'07 Scoring Model'!$B$8)*20,1)</f>
        <v>83</v>
      </c>
      <c r="Q44" s="25" t="n">
        <f aca="false">ROUND(P44*O44,1)</f>
        <v>45.7</v>
      </c>
      <c r="R44" s="16" t="str">
        <f aca="false">IF(Q44&gt;=70,"1 - Target now",IF(Q44&gt;=55,"2 - Target next",IF(Q44&gt;=40,"3 - Support only",IF(Q44&gt;=28,"4 - Defer","5 - Do not chase organically"))))</f>
        <v>3 - Support only</v>
      </c>
      <c r="S44" s="4" t="s">
        <v>38</v>
      </c>
      <c r="T44" s="4"/>
    </row>
    <row r="45" customFormat="false" ht="23.85" hidden="false" customHeight="false" outlineLevel="0" collapsed="false">
      <c r="A45" s="4" t="s">
        <v>592</v>
      </c>
      <c r="B45" s="10" t="s">
        <v>477</v>
      </c>
      <c r="C45" s="10" t="s">
        <v>478</v>
      </c>
      <c r="D45" s="4" t="s">
        <v>593</v>
      </c>
      <c r="E45" s="10" t="s">
        <v>523</v>
      </c>
      <c r="F45" s="22" t="s">
        <v>480</v>
      </c>
      <c r="G45" s="22" t="s">
        <v>480</v>
      </c>
      <c r="H45" s="22" t="s">
        <v>480</v>
      </c>
      <c r="I45" s="5" t="s">
        <v>481</v>
      </c>
      <c r="J45" s="10" t="n">
        <v>5</v>
      </c>
      <c r="K45" s="10" t="n">
        <v>4</v>
      </c>
      <c r="L45" s="10" t="n">
        <v>3</v>
      </c>
      <c r="M45" s="10" t="n">
        <v>4</v>
      </c>
      <c r="N45" s="10" t="s">
        <v>447</v>
      </c>
      <c r="O45" s="23" t="n">
        <f aca="false">IFERROR(INDEX('07 Scoring Model'!$B$14:$B$17,MATCH(N45,'07 Scoring Model'!$A$14:$A$17,0)),0)</f>
        <v>0.55</v>
      </c>
      <c r="P45" s="24" t="n">
        <f aca="false">ROUND((J45*'07 Scoring Model'!$B$5 + K45*'07 Scoring Model'!$B$6 + L45*'07 Scoring Model'!$B$7 + M45*'07 Scoring Model'!$B$8)*20,1)</f>
        <v>83</v>
      </c>
      <c r="Q45" s="25" t="n">
        <f aca="false">ROUND(P45*O45,1)</f>
        <v>45.7</v>
      </c>
      <c r="R45" s="16" t="str">
        <f aca="false">IF(Q45&gt;=70,"1 - Target now",IF(Q45&gt;=55,"2 - Target next",IF(Q45&gt;=40,"3 - Support only",IF(Q45&gt;=28,"4 - Defer","5 - Do not chase organically"))))</f>
        <v>3 - Support only</v>
      </c>
      <c r="S45" s="4" t="s">
        <v>38</v>
      </c>
      <c r="T45" s="4"/>
    </row>
    <row r="46" customFormat="false" ht="23.85" hidden="false" customHeight="false" outlineLevel="0" collapsed="false">
      <c r="A46" s="4" t="s">
        <v>594</v>
      </c>
      <c r="B46" s="10" t="s">
        <v>477</v>
      </c>
      <c r="C46" s="10" t="s">
        <v>513</v>
      </c>
      <c r="D46" s="4" t="s">
        <v>595</v>
      </c>
      <c r="E46" s="10" t="s">
        <v>523</v>
      </c>
      <c r="F46" s="22" t="s">
        <v>480</v>
      </c>
      <c r="G46" s="22" t="s">
        <v>480</v>
      </c>
      <c r="H46" s="22" t="s">
        <v>480</v>
      </c>
      <c r="I46" s="5" t="s">
        <v>481</v>
      </c>
      <c r="J46" s="10" t="n">
        <v>5</v>
      </c>
      <c r="K46" s="10" t="n">
        <v>4</v>
      </c>
      <c r="L46" s="10" t="n">
        <v>3</v>
      </c>
      <c r="M46" s="10" t="n">
        <v>4</v>
      </c>
      <c r="N46" s="10" t="s">
        <v>444</v>
      </c>
      <c r="O46" s="23" t="n">
        <f aca="false">IFERROR(INDEX('07 Scoring Model'!$B$14:$B$17,MATCH(N46,'07 Scoring Model'!$A$14:$A$17,0)),0)</f>
        <v>0.8</v>
      </c>
      <c r="P46" s="24" t="n">
        <f aca="false">ROUND((J46*'07 Scoring Model'!$B$5 + K46*'07 Scoring Model'!$B$6 + L46*'07 Scoring Model'!$B$7 + M46*'07 Scoring Model'!$B$8)*20,1)</f>
        <v>83</v>
      </c>
      <c r="Q46" s="25" t="n">
        <f aca="false">ROUND(P46*O46,1)</f>
        <v>66.4</v>
      </c>
      <c r="R46" s="16" t="str">
        <f aca="false">IF(Q46&gt;=70,"1 - Target now",IF(Q46&gt;=55,"2 - Target next",IF(Q46&gt;=40,"3 - Support only",IF(Q46&gt;=28,"4 - Defer","5 - Do not chase organically"))))</f>
        <v>2 - Target next</v>
      </c>
      <c r="S46" s="4" t="s">
        <v>43</v>
      </c>
      <c r="T46" s="4" t="s">
        <v>596</v>
      </c>
    </row>
    <row r="47" customFormat="false" ht="23.85" hidden="false" customHeight="false" outlineLevel="0" collapsed="false">
      <c r="A47" s="4" t="s">
        <v>597</v>
      </c>
      <c r="B47" s="10" t="s">
        <v>477</v>
      </c>
      <c r="C47" s="10" t="s">
        <v>487</v>
      </c>
      <c r="D47" s="4" t="s">
        <v>598</v>
      </c>
      <c r="E47" s="10" t="s">
        <v>523</v>
      </c>
      <c r="F47" s="22" t="s">
        <v>480</v>
      </c>
      <c r="G47" s="22" t="s">
        <v>480</v>
      </c>
      <c r="H47" s="22" t="s">
        <v>480</v>
      </c>
      <c r="I47" s="5" t="s">
        <v>481</v>
      </c>
      <c r="J47" s="10" t="n">
        <v>5</v>
      </c>
      <c r="K47" s="10" t="n">
        <v>4</v>
      </c>
      <c r="L47" s="10" t="n">
        <v>3</v>
      </c>
      <c r="M47" s="10" t="n">
        <v>4</v>
      </c>
      <c r="N47" s="10" t="s">
        <v>444</v>
      </c>
      <c r="O47" s="23" t="n">
        <f aca="false">IFERROR(INDEX('07 Scoring Model'!$B$14:$B$17,MATCH(N47,'07 Scoring Model'!$A$14:$A$17,0)),0)</f>
        <v>0.8</v>
      </c>
      <c r="P47" s="24" t="n">
        <f aca="false">ROUND((J47*'07 Scoring Model'!$B$5 + K47*'07 Scoring Model'!$B$6 + L47*'07 Scoring Model'!$B$7 + M47*'07 Scoring Model'!$B$8)*20,1)</f>
        <v>83</v>
      </c>
      <c r="Q47" s="25" t="n">
        <f aca="false">ROUND(P47*O47,1)</f>
        <v>66.4</v>
      </c>
      <c r="R47" s="16" t="str">
        <f aca="false">IF(Q47&gt;=70,"1 - Target now",IF(Q47&gt;=55,"2 - Target next",IF(Q47&gt;=40,"3 - Support only",IF(Q47&gt;=28,"4 - Defer","5 - Do not chase organically"))))</f>
        <v>2 - Target next</v>
      </c>
      <c r="S47" s="4" t="s">
        <v>38</v>
      </c>
      <c r="T47" s="4"/>
    </row>
    <row r="48" customFormat="false" ht="23.85" hidden="false" customHeight="false" outlineLevel="0" collapsed="false">
      <c r="A48" s="4" t="s">
        <v>599</v>
      </c>
      <c r="B48" s="10" t="s">
        <v>495</v>
      </c>
      <c r="C48" s="10" t="s">
        <v>478</v>
      </c>
      <c r="D48" s="4" t="s">
        <v>600</v>
      </c>
      <c r="E48" s="10" t="s">
        <v>497</v>
      </c>
      <c r="F48" s="22" t="s">
        <v>480</v>
      </c>
      <c r="G48" s="22" t="s">
        <v>480</v>
      </c>
      <c r="H48" s="22" t="s">
        <v>480</v>
      </c>
      <c r="I48" s="5" t="s">
        <v>481</v>
      </c>
      <c r="J48" s="10" t="n">
        <v>3</v>
      </c>
      <c r="K48" s="10" t="n">
        <v>4</v>
      </c>
      <c r="L48" s="10" t="n">
        <v>3</v>
      </c>
      <c r="M48" s="10" t="n">
        <v>4</v>
      </c>
      <c r="N48" s="12" t="s">
        <v>441</v>
      </c>
      <c r="O48" s="23" t="n">
        <f aca="false">IFERROR(INDEX('07 Scoring Model'!$B$14:$B$17,MATCH(N48,'07 Scoring Model'!$A$14:$A$17,0)),0)</f>
        <v>1</v>
      </c>
      <c r="P48" s="24" t="n">
        <f aca="false">ROUND((J48*'07 Scoring Model'!$B$5 + K48*'07 Scoring Model'!$B$6 + L48*'07 Scoring Model'!$B$7 + M48*'07 Scoring Model'!$B$8)*20,1)</f>
        <v>69</v>
      </c>
      <c r="Q48" s="25" t="n">
        <f aca="false">ROUND(P48*O48,1)</f>
        <v>69</v>
      </c>
      <c r="R48" s="16" t="str">
        <f aca="false">IF(Q48&gt;=70,"1 - Target now",IF(Q48&gt;=55,"2 - Target next",IF(Q48&gt;=40,"3 - Support only",IF(Q48&gt;=28,"4 - Defer","5 - Do not chase organically"))))</f>
        <v>2 - Target next</v>
      </c>
      <c r="S48" s="4" t="s">
        <v>43</v>
      </c>
      <c r="T48" s="4" t="s">
        <v>601</v>
      </c>
    </row>
    <row r="49" customFormat="false" ht="23.85" hidden="false" customHeight="false" outlineLevel="0" collapsed="false">
      <c r="A49" s="4" t="s">
        <v>602</v>
      </c>
      <c r="B49" s="10" t="s">
        <v>477</v>
      </c>
      <c r="C49" s="10" t="s">
        <v>478</v>
      </c>
      <c r="D49" s="4" t="s">
        <v>603</v>
      </c>
      <c r="E49" s="10" t="s">
        <v>337</v>
      </c>
      <c r="F49" s="22" t="s">
        <v>480</v>
      </c>
      <c r="G49" s="22" t="s">
        <v>480</v>
      </c>
      <c r="H49" s="22" t="s">
        <v>480</v>
      </c>
      <c r="I49" s="5" t="s">
        <v>481</v>
      </c>
      <c r="J49" s="10" t="n">
        <v>5</v>
      </c>
      <c r="K49" s="10" t="n">
        <v>4</v>
      </c>
      <c r="L49" s="10" t="n">
        <v>3</v>
      </c>
      <c r="M49" s="10" t="n">
        <v>4</v>
      </c>
      <c r="N49" s="10" t="s">
        <v>447</v>
      </c>
      <c r="O49" s="23" t="n">
        <f aca="false">IFERROR(INDEX('07 Scoring Model'!$B$14:$B$17,MATCH(N49,'07 Scoring Model'!$A$14:$A$17,0)),0)</f>
        <v>0.55</v>
      </c>
      <c r="P49" s="24" t="n">
        <f aca="false">ROUND((J49*'07 Scoring Model'!$B$5 + K49*'07 Scoring Model'!$B$6 + L49*'07 Scoring Model'!$B$7 + M49*'07 Scoring Model'!$B$8)*20,1)</f>
        <v>83</v>
      </c>
      <c r="Q49" s="25" t="n">
        <f aca="false">ROUND(P49*O49,1)</f>
        <v>45.7</v>
      </c>
      <c r="R49" s="16" t="str">
        <f aca="false">IF(Q49&gt;=70,"1 - Target now",IF(Q49&gt;=55,"2 - Target next",IF(Q49&gt;=40,"3 - Support only",IF(Q49&gt;=28,"4 - Defer","5 - Do not chase organically"))))</f>
        <v>3 - Support only</v>
      </c>
      <c r="S49" s="4" t="s">
        <v>38</v>
      </c>
      <c r="T49" s="4"/>
    </row>
    <row r="50" customFormat="false" ht="23.85" hidden="false" customHeight="false" outlineLevel="0" collapsed="false">
      <c r="A50" s="4" t="s">
        <v>604</v>
      </c>
      <c r="B50" s="10" t="s">
        <v>477</v>
      </c>
      <c r="C50" s="10" t="s">
        <v>513</v>
      </c>
      <c r="D50" s="4" t="s">
        <v>605</v>
      </c>
      <c r="E50" s="10" t="s">
        <v>523</v>
      </c>
      <c r="F50" s="22" t="s">
        <v>480</v>
      </c>
      <c r="G50" s="22" t="s">
        <v>480</v>
      </c>
      <c r="H50" s="22" t="s">
        <v>480</v>
      </c>
      <c r="I50" s="5" t="s">
        <v>481</v>
      </c>
      <c r="J50" s="10" t="n">
        <v>5</v>
      </c>
      <c r="K50" s="10" t="n">
        <v>3</v>
      </c>
      <c r="L50" s="10" t="n">
        <v>2</v>
      </c>
      <c r="M50" s="10" t="n">
        <v>3</v>
      </c>
      <c r="N50" s="10" t="s">
        <v>447</v>
      </c>
      <c r="O50" s="23" t="n">
        <f aca="false">IFERROR(INDEX('07 Scoring Model'!$B$14:$B$17,MATCH(N50,'07 Scoring Model'!$A$14:$A$17,0)),0)</f>
        <v>0.55</v>
      </c>
      <c r="P50" s="24" t="n">
        <f aca="false">ROUND((J50*'07 Scoring Model'!$B$5 + K50*'07 Scoring Model'!$B$6 + L50*'07 Scoring Model'!$B$7 + M50*'07 Scoring Model'!$B$8)*20,1)</f>
        <v>70</v>
      </c>
      <c r="Q50" s="25" t="n">
        <f aca="false">ROUND(P50*O50,1)</f>
        <v>38.5</v>
      </c>
      <c r="R50" s="16" t="str">
        <f aca="false">IF(Q50&gt;=70,"1 - Target now",IF(Q50&gt;=55,"2 - Target next",IF(Q50&gt;=40,"3 - Support only",IF(Q50&gt;=28,"4 - Defer","5 - Do not chase organically"))))</f>
        <v>4 - Defer</v>
      </c>
      <c r="S50" s="4" t="s">
        <v>43</v>
      </c>
      <c r="T50" s="4" t="s">
        <v>606</v>
      </c>
    </row>
    <row r="51" customFormat="false" ht="23.85" hidden="false" customHeight="false" outlineLevel="0" collapsed="false">
      <c r="A51" s="4" t="s">
        <v>607</v>
      </c>
      <c r="B51" s="10" t="s">
        <v>477</v>
      </c>
      <c r="C51" s="10" t="s">
        <v>487</v>
      </c>
      <c r="D51" s="4" t="s">
        <v>603</v>
      </c>
      <c r="E51" s="10" t="s">
        <v>337</v>
      </c>
      <c r="F51" s="22" t="s">
        <v>480</v>
      </c>
      <c r="G51" s="22" t="s">
        <v>480</v>
      </c>
      <c r="H51" s="22" t="s">
        <v>480</v>
      </c>
      <c r="I51" s="5" t="s">
        <v>481</v>
      </c>
      <c r="J51" s="10" t="n">
        <v>5</v>
      </c>
      <c r="K51" s="10" t="n">
        <v>4</v>
      </c>
      <c r="L51" s="10" t="n">
        <v>2</v>
      </c>
      <c r="M51" s="10" t="n">
        <v>4</v>
      </c>
      <c r="N51" s="10" t="s">
        <v>444</v>
      </c>
      <c r="O51" s="23" t="n">
        <f aca="false">IFERROR(INDEX('07 Scoring Model'!$B$14:$B$17,MATCH(N51,'07 Scoring Model'!$A$14:$A$17,0)),0)</f>
        <v>0.8</v>
      </c>
      <c r="P51" s="24" t="n">
        <f aca="false">ROUND((J51*'07 Scoring Model'!$B$5 + K51*'07 Scoring Model'!$B$6 + L51*'07 Scoring Model'!$B$7 + M51*'07 Scoring Model'!$B$8)*20,1)</f>
        <v>79</v>
      </c>
      <c r="Q51" s="25" t="n">
        <f aca="false">ROUND(P51*O51,1)</f>
        <v>63.2</v>
      </c>
      <c r="R51" s="16" t="str">
        <f aca="false">IF(Q51&gt;=70,"1 - Target now",IF(Q51&gt;=55,"2 - Target next",IF(Q51&gt;=40,"3 - Support only",IF(Q51&gt;=28,"4 - Defer","5 - Do not chase organically"))))</f>
        <v>2 - Target next</v>
      </c>
      <c r="S51" s="4" t="s">
        <v>38</v>
      </c>
      <c r="T51" s="4" t="s">
        <v>608</v>
      </c>
    </row>
    <row r="52" customFormat="false" ht="23.85" hidden="false" customHeight="false" outlineLevel="0" collapsed="false">
      <c r="A52" s="4" t="s">
        <v>609</v>
      </c>
      <c r="B52" s="10" t="s">
        <v>477</v>
      </c>
      <c r="C52" s="10" t="s">
        <v>478</v>
      </c>
      <c r="D52" s="4" t="s">
        <v>603</v>
      </c>
      <c r="E52" s="10" t="s">
        <v>337</v>
      </c>
      <c r="F52" s="22" t="s">
        <v>480</v>
      </c>
      <c r="G52" s="22" t="s">
        <v>480</v>
      </c>
      <c r="H52" s="22" t="s">
        <v>480</v>
      </c>
      <c r="I52" s="5" t="s">
        <v>481</v>
      </c>
      <c r="J52" s="10" t="n">
        <v>4</v>
      </c>
      <c r="K52" s="10" t="n">
        <v>3</v>
      </c>
      <c r="L52" s="10" t="n">
        <v>2</v>
      </c>
      <c r="M52" s="10" t="n">
        <v>3</v>
      </c>
      <c r="N52" s="12" t="s">
        <v>441</v>
      </c>
      <c r="O52" s="23" t="n">
        <f aca="false">IFERROR(INDEX('07 Scoring Model'!$B$14:$B$17,MATCH(N52,'07 Scoring Model'!$A$14:$A$17,0)),0)</f>
        <v>1</v>
      </c>
      <c r="P52" s="24" t="n">
        <f aca="false">ROUND((J52*'07 Scoring Model'!$B$5 + K52*'07 Scoring Model'!$B$6 + L52*'07 Scoring Model'!$B$7 + M52*'07 Scoring Model'!$B$8)*20,1)</f>
        <v>63</v>
      </c>
      <c r="Q52" s="25" t="n">
        <f aca="false">ROUND(P52*O52,1)</f>
        <v>63</v>
      </c>
      <c r="R52" s="16" t="str">
        <f aca="false">IF(Q52&gt;=70,"1 - Target now",IF(Q52&gt;=55,"2 - Target next",IF(Q52&gt;=40,"3 - Support only",IF(Q52&gt;=28,"4 - Defer","5 - Do not chase organically"))))</f>
        <v>2 - Target next</v>
      </c>
      <c r="S52" s="4" t="s">
        <v>38</v>
      </c>
      <c r="T52" s="4" t="s">
        <v>610</v>
      </c>
    </row>
    <row r="53" customFormat="false" ht="23.85" hidden="false" customHeight="false" outlineLevel="0" collapsed="false">
      <c r="A53" s="4" t="s">
        <v>611</v>
      </c>
      <c r="B53" s="10" t="s">
        <v>477</v>
      </c>
      <c r="C53" s="10" t="s">
        <v>478</v>
      </c>
      <c r="D53" s="4" t="s">
        <v>603</v>
      </c>
      <c r="E53" s="10" t="s">
        <v>337</v>
      </c>
      <c r="F53" s="22" t="s">
        <v>480</v>
      </c>
      <c r="G53" s="22" t="s">
        <v>480</v>
      </c>
      <c r="H53" s="22" t="s">
        <v>480</v>
      </c>
      <c r="I53" s="5" t="s">
        <v>481</v>
      </c>
      <c r="J53" s="10" t="n">
        <v>4</v>
      </c>
      <c r="K53" s="10" t="n">
        <v>4</v>
      </c>
      <c r="L53" s="10" t="n">
        <v>2</v>
      </c>
      <c r="M53" s="10" t="n">
        <v>4</v>
      </c>
      <c r="N53" s="12" t="s">
        <v>441</v>
      </c>
      <c r="O53" s="23" t="n">
        <f aca="false">IFERROR(INDEX('07 Scoring Model'!$B$14:$B$17,MATCH(N53,'07 Scoring Model'!$A$14:$A$17,0)),0)</f>
        <v>1</v>
      </c>
      <c r="P53" s="24" t="n">
        <f aca="false">ROUND((J53*'07 Scoring Model'!$B$5 + K53*'07 Scoring Model'!$B$6 + L53*'07 Scoring Model'!$B$7 + M53*'07 Scoring Model'!$B$8)*20,1)</f>
        <v>72</v>
      </c>
      <c r="Q53" s="25" t="n">
        <f aca="false">ROUND(P53*O53,1)</f>
        <v>72</v>
      </c>
      <c r="R53" s="16" t="str">
        <f aca="false">IF(Q53&gt;=70,"1 - Target now",IF(Q53&gt;=55,"2 - Target next",IF(Q53&gt;=40,"3 - Support only",IF(Q53&gt;=28,"4 - Defer","5 - Do not chase organically"))))</f>
        <v>1 - Target now</v>
      </c>
      <c r="S53" s="4" t="s">
        <v>38</v>
      </c>
      <c r="T53" s="4" t="s">
        <v>612</v>
      </c>
    </row>
    <row r="54" customFormat="false" ht="23.85" hidden="false" customHeight="false" outlineLevel="0" collapsed="false">
      <c r="A54" s="4" t="s">
        <v>613</v>
      </c>
      <c r="B54" s="10" t="s">
        <v>477</v>
      </c>
      <c r="C54" s="10" t="s">
        <v>513</v>
      </c>
      <c r="D54" s="4" t="s">
        <v>614</v>
      </c>
      <c r="E54" s="10" t="s">
        <v>523</v>
      </c>
      <c r="F54" s="22" t="s">
        <v>480</v>
      </c>
      <c r="G54" s="22" t="s">
        <v>480</v>
      </c>
      <c r="H54" s="22" t="s">
        <v>480</v>
      </c>
      <c r="I54" s="5" t="s">
        <v>481</v>
      </c>
      <c r="J54" s="10" t="n">
        <v>5</v>
      </c>
      <c r="K54" s="10" t="n">
        <v>3</v>
      </c>
      <c r="L54" s="10" t="n">
        <v>3</v>
      </c>
      <c r="M54" s="10" t="n">
        <v>3</v>
      </c>
      <c r="N54" s="10" t="s">
        <v>447</v>
      </c>
      <c r="O54" s="23" t="n">
        <f aca="false">IFERROR(INDEX('07 Scoring Model'!$B$14:$B$17,MATCH(N54,'07 Scoring Model'!$A$14:$A$17,0)),0)</f>
        <v>0.55</v>
      </c>
      <c r="P54" s="24" t="n">
        <f aca="false">ROUND((J54*'07 Scoring Model'!$B$5 + K54*'07 Scoring Model'!$B$6 + L54*'07 Scoring Model'!$B$7 + M54*'07 Scoring Model'!$B$8)*20,1)</f>
        <v>74</v>
      </c>
      <c r="Q54" s="25" t="n">
        <f aca="false">ROUND(P54*O54,1)</f>
        <v>40.7</v>
      </c>
      <c r="R54" s="16" t="str">
        <f aca="false">IF(Q54&gt;=70,"1 - Target now",IF(Q54&gt;=55,"2 - Target next",IF(Q54&gt;=40,"3 - Support only",IF(Q54&gt;=28,"4 - Defer","5 - Do not chase organically"))))</f>
        <v>3 - Support only</v>
      </c>
      <c r="S54" s="4" t="s">
        <v>43</v>
      </c>
      <c r="T54" s="4"/>
    </row>
    <row r="55" customFormat="false" ht="23.85" hidden="false" customHeight="false" outlineLevel="0" collapsed="false">
      <c r="A55" s="4" t="s">
        <v>615</v>
      </c>
      <c r="B55" s="10" t="s">
        <v>477</v>
      </c>
      <c r="C55" s="10" t="s">
        <v>478</v>
      </c>
      <c r="D55" s="4" t="s">
        <v>616</v>
      </c>
      <c r="E55" s="10" t="s">
        <v>523</v>
      </c>
      <c r="F55" s="22" t="s">
        <v>480</v>
      </c>
      <c r="G55" s="22" t="s">
        <v>480</v>
      </c>
      <c r="H55" s="22" t="s">
        <v>480</v>
      </c>
      <c r="I55" s="5" t="s">
        <v>481</v>
      </c>
      <c r="J55" s="10" t="n">
        <v>5</v>
      </c>
      <c r="K55" s="10" t="n">
        <v>3</v>
      </c>
      <c r="L55" s="10" t="n">
        <v>3</v>
      </c>
      <c r="M55" s="10" t="n">
        <v>3</v>
      </c>
      <c r="N55" s="10" t="s">
        <v>447</v>
      </c>
      <c r="O55" s="23" t="n">
        <f aca="false">IFERROR(INDEX('07 Scoring Model'!$B$14:$B$17,MATCH(N55,'07 Scoring Model'!$A$14:$A$17,0)),0)</f>
        <v>0.55</v>
      </c>
      <c r="P55" s="24" t="n">
        <f aca="false">ROUND((J55*'07 Scoring Model'!$B$5 + K55*'07 Scoring Model'!$B$6 + L55*'07 Scoring Model'!$B$7 + M55*'07 Scoring Model'!$B$8)*20,1)</f>
        <v>74</v>
      </c>
      <c r="Q55" s="25" t="n">
        <f aca="false">ROUND(P55*O55,1)</f>
        <v>40.7</v>
      </c>
      <c r="R55" s="16" t="str">
        <f aca="false">IF(Q55&gt;=70,"1 - Target now",IF(Q55&gt;=55,"2 - Target next",IF(Q55&gt;=40,"3 - Support only",IF(Q55&gt;=28,"4 - Defer","5 - Do not chase organically"))))</f>
        <v>3 - Support only</v>
      </c>
      <c r="S55" s="4" t="s">
        <v>38</v>
      </c>
      <c r="T55" s="4"/>
    </row>
    <row r="56" customFormat="false" ht="23.85" hidden="false" customHeight="false" outlineLevel="0" collapsed="false">
      <c r="A56" s="4" t="s">
        <v>617</v>
      </c>
      <c r="B56" s="10" t="s">
        <v>477</v>
      </c>
      <c r="C56" s="10" t="s">
        <v>478</v>
      </c>
      <c r="D56" s="4" t="s">
        <v>618</v>
      </c>
      <c r="E56" s="10" t="s">
        <v>337</v>
      </c>
      <c r="F56" s="22" t="s">
        <v>480</v>
      </c>
      <c r="G56" s="22" t="s">
        <v>480</v>
      </c>
      <c r="H56" s="22" t="s">
        <v>480</v>
      </c>
      <c r="I56" s="5" t="s">
        <v>481</v>
      </c>
      <c r="J56" s="10" t="n">
        <v>5</v>
      </c>
      <c r="K56" s="10" t="n">
        <v>4</v>
      </c>
      <c r="L56" s="10" t="n">
        <v>5</v>
      </c>
      <c r="M56" s="10" t="n">
        <v>4</v>
      </c>
      <c r="N56" s="13" t="s">
        <v>450</v>
      </c>
      <c r="O56" s="23" t="n">
        <f aca="false">IFERROR(INDEX('07 Scoring Model'!$B$14:$B$17,MATCH(N56,'07 Scoring Model'!$A$14:$A$17,0)),0)</f>
        <v>0.25</v>
      </c>
      <c r="P56" s="24" t="n">
        <f aca="false">ROUND((J56*'07 Scoring Model'!$B$5 + K56*'07 Scoring Model'!$B$6 + L56*'07 Scoring Model'!$B$7 + M56*'07 Scoring Model'!$B$8)*20,1)</f>
        <v>91</v>
      </c>
      <c r="Q56" s="25" t="n">
        <f aca="false">ROUND(P56*O56,1)</f>
        <v>22.8</v>
      </c>
      <c r="R56" s="16" t="str">
        <f aca="false">IF(Q56&gt;=70,"1 - Target now",IF(Q56&gt;=55,"2 - Target next",IF(Q56&gt;=40,"3 - Support only",IF(Q56&gt;=28,"4 - Defer","5 - Do not chase organically"))))</f>
        <v>5 - Do not chase organically</v>
      </c>
      <c r="S56" s="4" t="s">
        <v>35</v>
      </c>
      <c r="T56" s="4" t="s">
        <v>619</v>
      </c>
    </row>
    <row r="57" customFormat="false" ht="23.85" hidden="false" customHeight="false" outlineLevel="0" collapsed="false">
      <c r="A57" s="4" t="s">
        <v>620</v>
      </c>
      <c r="B57" s="10" t="s">
        <v>477</v>
      </c>
      <c r="C57" s="10" t="s">
        <v>487</v>
      </c>
      <c r="D57" s="4" t="s">
        <v>618</v>
      </c>
      <c r="E57" s="10" t="s">
        <v>337</v>
      </c>
      <c r="F57" s="22" t="s">
        <v>480</v>
      </c>
      <c r="G57" s="22" t="s">
        <v>480</v>
      </c>
      <c r="H57" s="22" t="s">
        <v>480</v>
      </c>
      <c r="I57" s="5" t="s">
        <v>481</v>
      </c>
      <c r="J57" s="10" t="n">
        <v>5</v>
      </c>
      <c r="K57" s="10" t="n">
        <v>4</v>
      </c>
      <c r="L57" s="10" t="n">
        <v>3</v>
      </c>
      <c r="M57" s="10" t="n">
        <v>4</v>
      </c>
      <c r="N57" s="10" t="s">
        <v>447</v>
      </c>
      <c r="O57" s="23" t="n">
        <f aca="false">IFERROR(INDEX('07 Scoring Model'!$B$14:$B$17,MATCH(N57,'07 Scoring Model'!$A$14:$A$17,0)),0)</f>
        <v>0.55</v>
      </c>
      <c r="P57" s="24" t="n">
        <f aca="false">ROUND((J57*'07 Scoring Model'!$B$5 + K57*'07 Scoring Model'!$B$6 + L57*'07 Scoring Model'!$B$7 + M57*'07 Scoring Model'!$B$8)*20,1)</f>
        <v>83</v>
      </c>
      <c r="Q57" s="25" t="n">
        <f aca="false">ROUND(P57*O57,1)</f>
        <v>45.7</v>
      </c>
      <c r="R57" s="16" t="str">
        <f aca="false">IF(Q57&gt;=70,"1 - Target now",IF(Q57&gt;=55,"2 - Target next",IF(Q57&gt;=40,"3 - Support only",IF(Q57&gt;=28,"4 - Defer","5 - Do not chase organically"))))</f>
        <v>3 - Support only</v>
      </c>
      <c r="S57" s="4" t="s">
        <v>38</v>
      </c>
      <c r="T57" s="4"/>
    </row>
    <row r="58" customFormat="false" ht="23.85" hidden="false" customHeight="false" outlineLevel="0" collapsed="false">
      <c r="A58" s="4" t="s">
        <v>621</v>
      </c>
      <c r="B58" s="10" t="s">
        <v>493</v>
      </c>
      <c r="C58" s="10" t="s">
        <v>513</v>
      </c>
      <c r="D58" s="4" t="s">
        <v>622</v>
      </c>
      <c r="E58" s="10" t="s">
        <v>497</v>
      </c>
      <c r="F58" s="22" t="s">
        <v>480</v>
      </c>
      <c r="G58" s="22" t="s">
        <v>480</v>
      </c>
      <c r="H58" s="22" t="s">
        <v>480</v>
      </c>
      <c r="I58" s="5" t="s">
        <v>481</v>
      </c>
      <c r="J58" s="10" t="n">
        <v>4</v>
      </c>
      <c r="K58" s="10" t="n">
        <v>4</v>
      </c>
      <c r="L58" s="10" t="n">
        <v>4</v>
      </c>
      <c r="M58" s="10" t="n">
        <v>4</v>
      </c>
      <c r="N58" s="10" t="s">
        <v>444</v>
      </c>
      <c r="O58" s="23" t="n">
        <f aca="false">IFERROR(INDEX('07 Scoring Model'!$B$14:$B$17,MATCH(N58,'07 Scoring Model'!$A$14:$A$17,0)),0)</f>
        <v>0.8</v>
      </c>
      <c r="P58" s="24" t="n">
        <f aca="false">ROUND((J58*'07 Scoring Model'!$B$5 + K58*'07 Scoring Model'!$B$6 + L58*'07 Scoring Model'!$B$7 + M58*'07 Scoring Model'!$B$8)*20,1)</f>
        <v>80</v>
      </c>
      <c r="Q58" s="25" t="n">
        <f aca="false">ROUND(P58*O58,1)</f>
        <v>64</v>
      </c>
      <c r="R58" s="16" t="str">
        <f aca="false">IF(Q58&gt;=70,"1 - Target now",IF(Q58&gt;=55,"2 - Target next",IF(Q58&gt;=40,"3 - Support only",IF(Q58&gt;=28,"4 - Defer","5 - Do not chase organically"))))</f>
        <v>2 - Target next</v>
      </c>
      <c r="S58" s="4" t="s">
        <v>38</v>
      </c>
      <c r="T58" s="4"/>
    </row>
    <row r="59" customFormat="false" ht="23.85" hidden="false" customHeight="false" outlineLevel="0" collapsed="false">
      <c r="A59" s="4" t="s">
        <v>623</v>
      </c>
      <c r="B59" s="10" t="s">
        <v>493</v>
      </c>
      <c r="C59" s="10" t="s">
        <v>478</v>
      </c>
      <c r="D59" s="4" t="s">
        <v>624</v>
      </c>
      <c r="E59" s="10" t="s">
        <v>497</v>
      </c>
      <c r="F59" s="22" t="s">
        <v>480</v>
      </c>
      <c r="G59" s="22" t="s">
        <v>480</v>
      </c>
      <c r="H59" s="22" t="s">
        <v>480</v>
      </c>
      <c r="I59" s="5" t="s">
        <v>481</v>
      </c>
      <c r="J59" s="10" t="n">
        <v>4</v>
      </c>
      <c r="K59" s="10" t="n">
        <v>3</v>
      </c>
      <c r="L59" s="10" t="n">
        <v>2</v>
      </c>
      <c r="M59" s="10" t="n">
        <v>3</v>
      </c>
      <c r="N59" s="12" t="s">
        <v>441</v>
      </c>
      <c r="O59" s="23" t="n">
        <f aca="false">IFERROR(INDEX('07 Scoring Model'!$B$14:$B$17,MATCH(N59,'07 Scoring Model'!$A$14:$A$17,0)),0)</f>
        <v>1</v>
      </c>
      <c r="P59" s="24" t="n">
        <f aca="false">ROUND((J59*'07 Scoring Model'!$B$5 + K59*'07 Scoring Model'!$B$6 + L59*'07 Scoring Model'!$B$7 + M59*'07 Scoring Model'!$B$8)*20,1)</f>
        <v>63</v>
      </c>
      <c r="Q59" s="25" t="n">
        <f aca="false">ROUND(P59*O59,1)</f>
        <v>63</v>
      </c>
      <c r="R59" s="16" t="str">
        <f aca="false">IF(Q59&gt;=70,"1 - Target now",IF(Q59&gt;=55,"2 - Target next",IF(Q59&gt;=40,"3 - Support only",IF(Q59&gt;=28,"4 - Defer","5 - Do not chase organically"))))</f>
        <v>2 - Target next</v>
      </c>
      <c r="S59" s="4" t="s">
        <v>35</v>
      </c>
      <c r="T59" s="4" t="s">
        <v>625</v>
      </c>
    </row>
    <row r="60" customFormat="false" ht="23.85" hidden="false" customHeight="false" outlineLevel="0" collapsed="false">
      <c r="A60" s="4" t="s">
        <v>626</v>
      </c>
      <c r="B60" s="10" t="s">
        <v>477</v>
      </c>
      <c r="C60" s="10" t="s">
        <v>478</v>
      </c>
      <c r="D60" s="4" t="s">
        <v>627</v>
      </c>
      <c r="E60" s="10" t="s">
        <v>337</v>
      </c>
      <c r="F60" s="22" t="s">
        <v>480</v>
      </c>
      <c r="G60" s="22" t="s">
        <v>480</v>
      </c>
      <c r="H60" s="22" t="s">
        <v>480</v>
      </c>
      <c r="I60" s="5" t="s">
        <v>481</v>
      </c>
      <c r="J60" s="10" t="n">
        <v>5</v>
      </c>
      <c r="K60" s="10" t="n">
        <v>4</v>
      </c>
      <c r="L60" s="10" t="n">
        <v>3</v>
      </c>
      <c r="M60" s="10" t="n">
        <v>4</v>
      </c>
      <c r="N60" s="10" t="s">
        <v>447</v>
      </c>
      <c r="O60" s="23" t="n">
        <f aca="false">IFERROR(INDEX('07 Scoring Model'!$B$14:$B$17,MATCH(N60,'07 Scoring Model'!$A$14:$A$17,0)),0)</f>
        <v>0.55</v>
      </c>
      <c r="P60" s="24" t="n">
        <f aca="false">ROUND((J60*'07 Scoring Model'!$B$5 + K60*'07 Scoring Model'!$B$6 + L60*'07 Scoring Model'!$B$7 + M60*'07 Scoring Model'!$B$8)*20,1)</f>
        <v>83</v>
      </c>
      <c r="Q60" s="25" t="n">
        <f aca="false">ROUND(P60*O60,1)</f>
        <v>45.7</v>
      </c>
      <c r="R60" s="16" t="str">
        <f aca="false">IF(Q60&gt;=70,"1 - Target now",IF(Q60&gt;=55,"2 - Target next",IF(Q60&gt;=40,"3 - Support only",IF(Q60&gt;=28,"4 - Defer","5 - Do not chase organically"))))</f>
        <v>3 - Support only</v>
      </c>
      <c r="S60" s="4" t="s">
        <v>38</v>
      </c>
      <c r="T60" s="4"/>
    </row>
    <row r="61" customFormat="false" ht="23.85" hidden="false" customHeight="false" outlineLevel="0" collapsed="false">
      <c r="A61" s="4" t="s">
        <v>628</v>
      </c>
      <c r="B61" s="10" t="s">
        <v>493</v>
      </c>
      <c r="C61" s="10" t="s">
        <v>478</v>
      </c>
      <c r="D61" s="4" t="s">
        <v>629</v>
      </c>
      <c r="E61" s="10" t="s">
        <v>630</v>
      </c>
      <c r="F61" s="22" t="s">
        <v>480</v>
      </c>
      <c r="G61" s="22" t="s">
        <v>480</v>
      </c>
      <c r="H61" s="22" t="s">
        <v>480</v>
      </c>
      <c r="I61" s="5" t="s">
        <v>481</v>
      </c>
      <c r="J61" s="10" t="n">
        <v>4</v>
      </c>
      <c r="K61" s="10" t="n">
        <v>5</v>
      </c>
      <c r="L61" s="10" t="n">
        <v>5</v>
      </c>
      <c r="M61" s="10" t="n">
        <v>5</v>
      </c>
      <c r="N61" s="10" t="s">
        <v>447</v>
      </c>
      <c r="O61" s="23" t="n">
        <f aca="false">IFERROR(INDEX('07 Scoring Model'!$B$14:$B$17,MATCH(N61,'07 Scoring Model'!$A$14:$A$17,0)),0)</f>
        <v>0.55</v>
      </c>
      <c r="P61" s="24" t="n">
        <f aca="false">ROUND((J61*'07 Scoring Model'!$B$5 + K61*'07 Scoring Model'!$B$6 + L61*'07 Scoring Model'!$B$7 + M61*'07 Scoring Model'!$B$8)*20,1)</f>
        <v>93</v>
      </c>
      <c r="Q61" s="25" t="n">
        <f aca="false">ROUND(P61*O61,1)</f>
        <v>51.2</v>
      </c>
      <c r="R61" s="16" t="str">
        <f aca="false">IF(Q61&gt;=70,"1 - Target now",IF(Q61&gt;=55,"2 - Target next",IF(Q61&gt;=40,"3 - Support only",IF(Q61&gt;=28,"4 - Defer","5 - Do not chase organically"))))</f>
        <v>3 - Support only</v>
      </c>
      <c r="S61" s="4" t="s">
        <v>35</v>
      </c>
      <c r="T61" s="4" t="s">
        <v>631</v>
      </c>
    </row>
    <row r="62" customFormat="false" ht="23.85" hidden="false" customHeight="false" outlineLevel="0" collapsed="false">
      <c r="A62" s="4" t="s">
        <v>632</v>
      </c>
      <c r="B62" s="10" t="s">
        <v>493</v>
      </c>
      <c r="C62" s="10" t="s">
        <v>487</v>
      </c>
      <c r="D62" s="4" t="s">
        <v>629</v>
      </c>
      <c r="E62" s="10" t="s">
        <v>630</v>
      </c>
      <c r="F62" s="22" t="s">
        <v>480</v>
      </c>
      <c r="G62" s="22" t="s">
        <v>480</v>
      </c>
      <c r="H62" s="22" t="s">
        <v>480</v>
      </c>
      <c r="I62" s="5" t="s">
        <v>481</v>
      </c>
      <c r="J62" s="10" t="n">
        <v>4</v>
      </c>
      <c r="K62" s="10" t="n">
        <v>5</v>
      </c>
      <c r="L62" s="10" t="n">
        <v>3</v>
      </c>
      <c r="M62" s="10" t="n">
        <v>5</v>
      </c>
      <c r="N62" s="10" t="s">
        <v>444</v>
      </c>
      <c r="O62" s="23" t="n">
        <f aca="false">IFERROR(INDEX('07 Scoring Model'!$B$14:$B$17,MATCH(N62,'07 Scoring Model'!$A$14:$A$17,0)),0)</f>
        <v>0.8</v>
      </c>
      <c r="P62" s="24" t="n">
        <f aca="false">ROUND((J62*'07 Scoring Model'!$B$5 + K62*'07 Scoring Model'!$B$6 + L62*'07 Scoring Model'!$B$7 + M62*'07 Scoring Model'!$B$8)*20,1)</f>
        <v>85</v>
      </c>
      <c r="Q62" s="25" t="n">
        <f aca="false">ROUND(P62*O62,1)</f>
        <v>68</v>
      </c>
      <c r="R62" s="16" t="str">
        <f aca="false">IF(Q62&gt;=70,"1 - Target now",IF(Q62&gt;=55,"2 - Target next",IF(Q62&gt;=40,"3 - Support only",IF(Q62&gt;=28,"4 - Defer","5 - Do not chase organically"))))</f>
        <v>2 - Target next</v>
      </c>
      <c r="S62" s="4" t="s">
        <v>38</v>
      </c>
      <c r="T62" s="4"/>
    </row>
    <row r="63" customFormat="false" ht="23.85" hidden="false" customHeight="false" outlineLevel="0" collapsed="false">
      <c r="A63" s="4" t="s">
        <v>633</v>
      </c>
      <c r="B63" s="10" t="s">
        <v>493</v>
      </c>
      <c r="C63" s="10" t="s">
        <v>513</v>
      </c>
      <c r="D63" s="4" t="s">
        <v>634</v>
      </c>
      <c r="E63" s="10" t="s">
        <v>630</v>
      </c>
      <c r="F63" s="22" t="s">
        <v>480</v>
      </c>
      <c r="G63" s="22" t="s">
        <v>480</v>
      </c>
      <c r="H63" s="22" t="s">
        <v>480</v>
      </c>
      <c r="I63" s="5" t="s">
        <v>481</v>
      </c>
      <c r="J63" s="10" t="n">
        <v>5</v>
      </c>
      <c r="K63" s="10" t="n">
        <v>5</v>
      </c>
      <c r="L63" s="10" t="n">
        <v>4</v>
      </c>
      <c r="M63" s="10" t="n">
        <v>5</v>
      </c>
      <c r="N63" s="10" t="s">
        <v>447</v>
      </c>
      <c r="O63" s="23" t="n">
        <f aca="false">IFERROR(INDEX('07 Scoring Model'!$B$14:$B$17,MATCH(N63,'07 Scoring Model'!$A$14:$A$17,0)),0)</f>
        <v>0.55</v>
      </c>
      <c r="P63" s="24" t="n">
        <f aca="false">ROUND((J63*'07 Scoring Model'!$B$5 + K63*'07 Scoring Model'!$B$6 + L63*'07 Scoring Model'!$B$7 + M63*'07 Scoring Model'!$B$8)*20,1)</f>
        <v>96</v>
      </c>
      <c r="Q63" s="25" t="n">
        <f aca="false">ROUND(P63*O63,1)</f>
        <v>52.8</v>
      </c>
      <c r="R63" s="16" t="str">
        <f aca="false">IF(Q63&gt;=70,"1 - Target now",IF(Q63&gt;=55,"2 - Target next",IF(Q63&gt;=40,"3 - Support only",IF(Q63&gt;=28,"4 - Defer","5 - Do not chase organically"))))</f>
        <v>3 - Support only</v>
      </c>
      <c r="S63" s="4" t="s">
        <v>35</v>
      </c>
      <c r="T63" s="4" t="s">
        <v>635</v>
      </c>
    </row>
    <row r="64" customFormat="false" ht="23.85" hidden="false" customHeight="false" outlineLevel="0" collapsed="false">
      <c r="A64" s="4" t="s">
        <v>636</v>
      </c>
      <c r="B64" s="10" t="s">
        <v>493</v>
      </c>
      <c r="C64" s="10" t="s">
        <v>478</v>
      </c>
      <c r="D64" s="4" t="s">
        <v>637</v>
      </c>
      <c r="E64" s="10" t="s">
        <v>630</v>
      </c>
      <c r="F64" s="22" t="s">
        <v>480</v>
      </c>
      <c r="G64" s="22" t="s">
        <v>480</v>
      </c>
      <c r="H64" s="22" t="s">
        <v>480</v>
      </c>
      <c r="I64" s="5" t="s">
        <v>481</v>
      </c>
      <c r="J64" s="10" t="n">
        <v>5</v>
      </c>
      <c r="K64" s="10" t="n">
        <v>5</v>
      </c>
      <c r="L64" s="10" t="n">
        <v>4</v>
      </c>
      <c r="M64" s="10" t="n">
        <v>5</v>
      </c>
      <c r="N64" s="10" t="s">
        <v>447</v>
      </c>
      <c r="O64" s="23" t="n">
        <f aca="false">IFERROR(INDEX('07 Scoring Model'!$B$14:$B$17,MATCH(N64,'07 Scoring Model'!$A$14:$A$17,0)),0)</f>
        <v>0.55</v>
      </c>
      <c r="P64" s="24" t="n">
        <f aca="false">ROUND((J64*'07 Scoring Model'!$B$5 + K64*'07 Scoring Model'!$B$6 + L64*'07 Scoring Model'!$B$7 + M64*'07 Scoring Model'!$B$8)*20,1)</f>
        <v>96</v>
      </c>
      <c r="Q64" s="25" t="n">
        <f aca="false">ROUND(P64*O64,1)</f>
        <v>52.8</v>
      </c>
      <c r="R64" s="16" t="str">
        <f aca="false">IF(Q64&gt;=70,"1 - Target now",IF(Q64&gt;=55,"2 - Target next",IF(Q64&gt;=40,"3 - Support only",IF(Q64&gt;=28,"4 - Defer","5 - Do not chase organically"))))</f>
        <v>3 - Support only</v>
      </c>
      <c r="S64" s="4" t="s">
        <v>35</v>
      </c>
      <c r="T64" s="4"/>
    </row>
    <row r="65" customFormat="false" ht="23.85" hidden="false" customHeight="false" outlineLevel="0" collapsed="false">
      <c r="A65" s="4" t="s">
        <v>638</v>
      </c>
      <c r="B65" s="10" t="s">
        <v>493</v>
      </c>
      <c r="C65" s="10" t="s">
        <v>513</v>
      </c>
      <c r="D65" s="4" t="s">
        <v>639</v>
      </c>
      <c r="E65" s="10" t="s">
        <v>630</v>
      </c>
      <c r="F65" s="22" t="s">
        <v>480</v>
      </c>
      <c r="G65" s="22" t="s">
        <v>480</v>
      </c>
      <c r="H65" s="22" t="s">
        <v>480</v>
      </c>
      <c r="I65" s="5" t="s">
        <v>481</v>
      </c>
      <c r="J65" s="10" t="n">
        <v>5</v>
      </c>
      <c r="K65" s="10" t="n">
        <v>4</v>
      </c>
      <c r="L65" s="10" t="n">
        <v>4</v>
      </c>
      <c r="M65" s="10" t="n">
        <v>4</v>
      </c>
      <c r="N65" s="10" t="s">
        <v>447</v>
      </c>
      <c r="O65" s="23" t="n">
        <f aca="false">IFERROR(INDEX('07 Scoring Model'!$B$14:$B$17,MATCH(N65,'07 Scoring Model'!$A$14:$A$17,0)),0)</f>
        <v>0.55</v>
      </c>
      <c r="P65" s="24" t="n">
        <f aca="false">ROUND((J65*'07 Scoring Model'!$B$5 + K65*'07 Scoring Model'!$B$6 + L65*'07 Scoring Model'!$B$7 + M65*'07 Scoring Model'!$B$8)*20,1)</f>
        <v>87</v>
      </c>
      <c r="Q65" s="25" t="n">
        <f aca="false">ROUND(P65*O65,1)</f>
        <v>47.9</v>
      </c>
      <c r="R65" s="16" t="str">
        <f aca="false">IF(Q65&gt;=70,"1 - Target now",IF(Q65&gt;=55,"2 - Target next",IF(Q65&gt;=40,"3 - Support only",IF(Q65&gt;=28,"4 - Defer","5 - Do not chase organically"))))</f>
        <v>3 - Support only</v>
      </c>
      <c r="S65" s="4" t="s">
        <v>35</v>
      </c>
      <c r="T65" s="4"/>
    </row>
    <row r="66" customFormat="false" ht="23.85" hidden="false" customHeight="false" outlineLevel="0" collapsed="false">
      <c r="A66" s="4" t="s">
        <v>640</v>
      </c>
      <c r="B66" s="10" t="s">
        <v>493</v>
      </c>
      <c r="C66" s="10" t="s">
        <v>478</v>
      </c>
      <c r="D66" s="4" t="s">
        <v>641</v>
      </c>
      <c r="E66" s="10" t="s">
        <v>630</v>
      </c>
      <c r="F66" s="22" t="s">
        <v>480</v>
      </c>
      <c r="G66" s="22" t="s">
        <v>480</v>
      </c>
      <c r="H66" s="22" t="s">
        <v>480</v>
      </c>
      <c r="I66" s="5" t="s">
        <v>481</v>
      </c>
      <c r="J66" s="10" t="n">
        <v>4</v>
      </c>
      <c r="K66" s="10" t="n">
        <v>4</v>
      </c>
      <c r="L66" s="10" t="n">
        <v>4</v>
      </c>
      <c r="M66" s="10" t="n">
        <v>4</v>
      </c>
      <c r="N66" s="10" t="s">
        <v>447</v>
      </c>
      <c r="O66" s="23" t="n">
        <f aca="false">IFERROR(INDEX('07 Scoring Model'!$B$14:$B$17,MATCH(N66,'07 Scoring Model'!$A$14:$A$17,0)),0)</f>
        <v>0.55</v>
      </c>
      <c r="P66" s="24" t="n">
        <f aca="false">ROUND((J66*'07 Scoring Model'!$B$5 + K66*'07 Scoring Model'!$B$6 + L66*'07 Scoring Model'!$B$7 + M66*'07 Scoring Model'!$B$8)*20,1)</f>
        <v>80</v>
      </c>
      <c r="Q66" s="25" t="n">
        <f aca="false">ROUND(P66*O66,1)</f>
        <v>44</v>
      </c>
      <c r="R66" s="16" t="str">
        <f aca="false">IF(Q66&gt;=70,"1 - Target now",IF(Q66&gt;=55,"2 - Target next",IF(Q66&gt;=40,"3 - Support only",IF(Q66&gt;=28,"4 - Defer","5 - Do not chase organically"))))</f>
        <v>3 - Support only</v>
      </c>
      <c r="S66" s="4" t="s">
        <v>35</v>
      </c>
      <c r="T66" s="4" t="s">
        <v>642</v>
      </c>
    </row>
    <row r="67" customFormat="false" ht="23.85" hidden="false" customHeight="false" outlineLevel="0" collapsed="false">
      <c r="A67" s="4" t="s">
        <v>643</v>
      </c>
      <c r="B67" s="10" t="s">
        <v>477</v>
      </c>
      <c r="C67" s="10" t="s">
        <v>478</v>
      </c>
      <c r="D67" s="4" t="s">
        <v>629</v>
      </c>
      <c r="E67" s="10" t="s">
        <v>630</v>
      </c>
      <c r="F67" s="22" t="s">
        <v>480</v>
      </c>
      <c r="G67" s="22" t="s">
        <v>480</v>
      </c>
      <c r="H67" s="22" t="s">
        <v>480</v>
      </c>
      <c r="I67" s="5" t="s">
        <v>481</v>
      </c>
      <c r="J67" s="10" t="n">
        <v>5</v>
      </c>
      <c r="K67" s="10" t="n">
        <v>5</v>
      </c>
      <c r="L67" s="10" t="n">
        <v>2</v>
      </c>
      <c r="M67" s="10" t="n">
        <v>5</v>
      </c>
      <c r="N67" s="12" t="s">
        <v>441</v>
      </c>
      <c r="O67" s="23" t="n">
        <f aca="false">IFERROR(INDEX('07 Scoring Model'!$B$14:$B$17,MATCH(N67,'07 Scoring Model'!$A$14:$A$17,0)),0)</f>
        <v>1</v>
      </c>
      <c r="P67" s="24" t="n">
        <f aca="false">ROUND((J67*'07 Scoring Model'!$B$5 + K67*'07 Scoring Model'!$B$6 + L67*'07 Scoring Model'!$B$7 + M67*'07 Scoring Model'!$B$8)*20,1)</f>
        <v>88</v>
      </c>
      <c r="Q67" s="25" t="n">
        <f aca="false">ROUND(P67*O67,1)</f>
        <v>88</v>
      </c>
      <c r="R67" s="16" t="str">
        <f aca="false">IF(Q67&gt;=70,"1 - Target now",IF(Q67&gt;=55,"2 - Target next",IF(Q67&gt;=40,"3 - Support only",IF(Q67&gt;=28,"4 - Defer","5 - Do not chase organically"))))</f>
        <v>1 - Target now</v>
      </c>
      <c r="S67" s="4" t="s">
        <v>38</v>
      </c>
      <c r="T67" s="4" t="s">
        <v>644</v>
      </c>
    </row>
    <row r="68" customFormat="false" ht="23.85" hidden="false" customHeight="false" outlineLevel="0" collapsed="false">
      <c r="A68" s="4" t="s">
        <v>645</v>
      </c>
      <c r="B68" s="10" t="s">
        <v>477</v>
      </c>
      <c r="C68" s="10" t="s">
        <v>478</v>
      </c>
      <c r="D68" s="4" t="s">
        <v>646</v>
      </c>
      <c r="E68" s="10" t="s">
        <v>647</v>
      </c>
      <c r="F68" s="22" t="s">
        <v>480</v>
      </c>
      <c r="G68" s="22" t="s">
        <v>480</v>
      </c>
      <c r="H68" s="22" t="s">
        <v>480</v>
      </c>
      <c r="I68" s="5" t="s">
        <v>481</v>
      </c>
      <c r="J68" s="10" t="n">
        <v>5</v>
      </c>
      <c r="K68" s="10" t="n">
        <v>4</v>
      </c>
      <c r="L68" s="10" t="n">
        <v>2</v>
      </c>
      <c r="M68" s="10" t="n">
        <v>4</v>
      </c>
      <c r="N68" s="10" t="s">
        <v>444</v>
      </c>
      <c r="O68" s="23" t="n">
        <f aca="false">IFERROR(INDEX('07 Scoring Model'!$B$14:$B$17,MATCH(N68,'07 Scoring Model'!$A$14:$A$17,0)),0)</f>
        <v>0.8</v>
      </c>
      <c r="P68" s="24" t="n">
        <f aca="false">ROUND((J68*'07 Scoring Model'!$B$5 + K68*'07 Scoring Model'!$B$6 + L68*'07 Scoring Model'!$B$7 + M68*'07 Scoring Model'!$B$8)*20,1)</f>
        <v>79</v>
      </c>
      <c r="Q68" s="25" t="n">
        <f aca="false">ROUND(P68*O68,1)</f>
        <v>63.2</v>
      </c>
      <c r="R68" s="16" t="str">
        <f aca="false">IF(Q68&gt;=70,"1 - Target now",IF(Q68&gt;=55,"2 - Target next",IF(Q68&gt;=40,"3 - Support only",IF(Q68&gt;=28,"4 - Defer","5 - Do not chase organically"))))</f>
        <v>2 - Target next</v>
      </c>
      <c r="S68" s="4" t="s">
        <v>35</v>
      </c>
      <c r="T68" s="4" t="s">
        <v>648</v>
      </c>
    </row>
    <row r="69" customFormat="false" ht="23.85" hidden="false" customHeight="false" outlineLevel="0" collapsed="false">
      <c r="A69" s="4" t="s">
        <v>649</v>
      </c>
      <c r="B69" s="10" t="s">
        <v>477</v>
      </c>
      <c r="C69" s="10" t="s">
        <v>487</v>
      </c>
      <c r="D69" s="4" t="s">
        <v>650</v>
      </c>
      <c r="E69" s="10" t="s">
        <v>647</v>
      </c>
      <c r="F69" s="22" t="s">
        <v>480</v>
      </c>
      <c r="G69" s="22" t="s">
        <v>480</v>
      </c>
      <c r="H69" s="22" t="s">
        <v>480</v>
      </c>
      <c r="I69" s="5" t="s">
        <v>481</v>
      </c>
      <c r="J69" s="10" t="n">
        <v>4</v>
      </c>
      <c r="K69" s="10" t="n">
        <v>4</v>
      </c>
      <c r="L69" s="10" t="n">
        <v>2</v>
      </c>
      <c r="M69" s="10" t="n">
        <v>4</v>
      </c>
      <c r="N69" s="10" t="s">
        <v>444</v>
      </c>
      <c r="O69" s="23" t="n">
        <f aca="false">IFERROR(INDEX('07 Scoring Model'!$B$14:$B$17,MATCH(N69,'07 Scoring Model'!$A$14:$A$17,0)),0)</f>
        <v>0.8</v>
      </c>
      <c r="P69" s="24" t="n">
        <f aca="false">ROUND((J69*'07 Scoring Model'!$B$5 + K69*'07 Scoring Model'!$B$6 + L69*'07 Scoring Model'!$B$7 + M69*'07 Scoring Model'!$B$8)*20,1)</f>
        <v>72</v>
      </c>
      <c r="Q69" s="25" t="n">
        <f aca="false">ROUND(P69*O69,1)</f>
        <v>57.6</v>
      </c>
      <c r="R69" s="16" t="str">
        <f aca="false">IF(Q69&gt;=70,"1 - Target now",IF(Q69&gt;=55,"2 - Target next",IF(Q69&gt;=40,"3 - Support only",IF(Q69&gt;=28,"4 - Defer","5 - Do not chase organically"))))</f>
        <v>2 - Target next</v>
      </c>
      <c r="S69" s="4" t="s">
        <v>35</v>
      </c>
      <c r="T69" s="4" t="s">
        <v>651</v>
      </c>
    </row>
    <row r="70" customFormat="false" ht="23.85" hidden="false" customHeight="false" outlineLevel="0" collapsed="false">
      <c r="A70" s="4" t="s">
        <v>652</v>
      </c>
      <c r="B70" s="10" t="s">
        <v>477</v>
      </c>
      <c r="C70" s="10" t="s">
        <v>513</v>
      </c>
      <c r="D70" s="4" t="s">
        <v>653</v>
      </c>
      <c r="E70" s="10" t="s">
        <v>647</v>
      </c>
      <c r="F70" s="22" t="s">
        <v>480</v>
      </c>
      <c r="G70" s="22" t="s">
        <v>480</v>
      </c>
      <c r="H70" s="22" t="s">
        <v>480</v>
      </c>
      <c r="I70" s="5" t="s">
        <v>481</v>
      </c>
      <c r="J70" s="10" t="n">
        <v>5</v>
      </c>
      <c r="K70" s="10" t="n">
        <v>4</v>
      </c>
      <c r="L70" s="10" t="n">
        <v>4</v>
      </c>
      <c r="M70" s="10" t="n">
        <v>4</v>
      </c>
      <c r="N70" s="10" t="s">
        <v>447</v>
      </c>
      <c r="O70" s="23" t="n">
        <f aca="false">IFERROR(INDEX('07 Scoring Model'!$B$14:$B$17,MATCH(N70,'07 Scoring Model'!$A$14:$A$17,0)),0)</f>
        <v>0.55</v>
      </c>
      <c r="P70" s="24" t="n">
        <f aca="false">ROUND((J70*'07 Scoring Model'!$B$5 + K70*'07 Scoring Model'!$B$6 + L70*'07 Scoring Model'!$B$7 + M70*'07 Scoring Model'!$B$8)*20,1)</f>
        <v>87</v>
      </c>
      <c r="Q70" s="25" t="n">
        <f aca="false">ROUND(P70*O70,1)</f>
        <v>47.9</v>
      </c>
      <c r="R70" s="16" t="str">
        <f aca="false">IF(Q70&gt;=70,"1 - Target now",IF(Q70&gt;=55,"2 - Target next",IF(Q70&gt;=40,"3 - Support only",IF(Q70&gt;=28,"4 - Defer","5 - Do not chase organically"))))</f>
        <v>3 - Support only</v>
      </c>
      <c r="S70" s="4" t="s">
        <v>38</v>
      </c>
      <c r="T70" s="4"/>
    </row>
    <row r="71" customFormat="false" ht="23.85" hidden="false" customHeight="false" outlineLevel="0" collapsed="false">
      <c r="A71" s="4" t="s">
        <v>654</v>
      </c>
      <c r="B71" s="10" t="s">
        <v>655</v>
      </c>
      <c r="C71" s="10" t="s">
        <v>656</v>
      </c>
      <c r="D71" s="4" t="s">
        <v>316</v>
      </c>
      <c r="E71" s="10" t="s">
        <v>657</v>
      </c>
      <c r="F71" s="22" t="s">
        <v>480</v>
      </c>
      <c r="G71" s="22" t="s">
        <v>480</v>
      </c>
      <c r="H71" s="22" t="s">
        <v>480</v>
      </c>
      <c r="I71" s="5" t="s">
        <v>481</v>
      </c>
      <c r="J71" s="10" t="n">
        <v>3</v>
      </c>
      <c r="K71" s="10" t="n">
        <v>5</v>
      </c>
      <c r="L71" s="10" t="n">
        <v>1</v>
      </c>
      <c r="M71" s="10" t="n">
        <v>5</v>
      </c>
      <c r="N71" s="12" t="s">
        <v>441</v>
      </c>
      <c r="O71" s="23" t="n">
        <f aca="false">IFERROR(INDEX('07 Scoring Model'!$B$14:$B$17,MATCH(N71,'07 Scoring Model'!$A$14:$A$17,0)),0)</f>
        <v>1</v>
      </c>
      <c r="P71" s="24" t="n">
        <f aca="false">ROUND((J71*'07 Scoring Model'!$B$5 + K71*'07 Scoring Model'!$B$6 + L71*'07 Scoring Model'!$B$7 + M71*'07 Scoring Model'!$B$8)*20,1)</f>
        <v>70</v>
      </c>
      <c r="Q71" s="25" t="n">
        <f aca="false">ROUND(P71*O71,1)</f>
        <v>70</v>
      </c>
      <c r="R71" s="16" t="str">
        <f aca="false">IF(Q71&gt;=70,"1 - Target now",IF(Q71&gt;=55,"2 - Target next",IF(Q71&gt;=40,"3 - Support only",IF(Q71&gt;=28,"4 - Defer","5 - Do not chase organically"))))</f>
        <v>1 - Target now</v>
      </c>
      <c r="S71" s="4" t="s">
        <v>35</v>
      </c>
      <c r="T71" s="4" t="s">
        <v>658</v>
      </c>
    </row>
    <row r="72" customFormat="false" ht="23.85" hidden="false" customHeight="false" outlineLevel="0" collapsed="false">
      <c r="A72" s="4" t="s">
        <v>659</v>
      </c>
      <c r="B72" s="10" t="s">
        <v>655</v>
      </c>
      <c r="C72" s="10" t="s">
        <v>656</v>
      </c>
      <c r="D72" s="4" t="s">
        <v>660</v>
      </c>
      <c r="E72" s="10" t="s">
        <v>661</v>
      </c>
      <c r="F72" s="22" t="s">
        <v>480</v>
      </c>
      <c r="G72" s="22" t="s">
        <v>480</v>
      </c>
      <c r="H72" s="22" t="s">
        <v>480</v>
      </c>
      <c r="I72" s="5" t="s">
        <v>481</v>
      </c>
      <c r="J72" s="10" t="n">
        <v>3</v>
      </c>
      <c r="K72" s="10" t="n">
        <v>4</v>
      </c>
      <c r="L72" s="10" t="n">
        <v>1</v>
      </c>
      <c r="M72" s="10" t="n">
        <v>4</v>
      </c>
      <c r="N72" s="12" t="s">
        <v>441</v>
      </c>
      <c r="O72" s="23" t="n">
        <f aca="false">IFERROR(INDEX('07 Scoring Model'!$B$14:$B$17,MATCH(N72,'07 Scoring Model'!$A$14:$A$17,0)),0)</f>
        <v>1</v>
      </c>
      <c r="P72" s="24" t="n">
        <f aca="false">ROUND((J72*'07 Scoring Model'!$B$5 + K72*'07 Scoring Model'!$B$6 + L72*'07 Scoring Model'!$B$7 + M72*'07 Scoring Model'!$B$8)*20,1)</f>
        <v>61</v>
      </c>
      <c r="Q72" s="25" t="n">
        <f aca="false">ROUND(P72*O72,1)</f>
        <v>61</v>
      </c>
      <c r="R72" s="16" t="str">
        <f aca="false">IF(Q72&gt;=70,"1 - Target now",IF(Q72&gt;=55,"2 - Target next",IF(Q72&gt;=40,"3 - Support only",IF(Q72&gt;=28,"4 - Defer","5 - Do not chase organically"))))</f>
        <v>2 - Target next</v>
      </c>
      <c r="S72" s="4" t="s">
        <v>35</v>
      </c>
      <c r="T72" s="4"/>
    </row>
    <row r="73" customFormat="false" ht="23.85" hidden="false" customHeight="false" outlineLevel="0" collapsed="false">
      <c r="A73" s="4" t="s">
        <v>662</v>
      </c>
      <c r="B73" s="10" t="s">
        <v>655</v>
      </c>
      <c r="C73" s="10" t="s">
        <v>656</v>
      </c>
      <c r="D73" s="4" t="s">
        <v>660</v>
      </c>
      <c r="E73" s="10" t="s">
        <v>661</v>
      </c>
      <c r="F73" s="22" t="s">
        <v>480</v>
      </c>
      <c r="G73" s="22" t="s">
        <v>480</v>
      </c>
      <c r="H73" s="22" t="s">
        <v>480</v>
      </c>
      <c r="I73" s="5" t="s">
        <v>481</v>
      </c>
      <c r="J73" s="10" t="n">
        <v>4</v>
      </c>
      <c r="K73" s="10" t="n">
        <v>4</v>
      </c>
      <c r="L73" s="10" t="n">
        <v>1</v>
      </c>
      <c r="M73" s="10" t="n">
        <v>5</v>
      </c>
      <c r="N73" s="10" t="s">
        <v>444</v>
      </c>
      <c r="O73" s="23" t="n">
        <f aca="false">IFERROR(INDEX('07 Scoring Model'!$B$14:$B$17,MATCH(N73,'07 Scoring Model'!$A$14:$A$17,0)),0)</f>
        <v>0.8</v>
      </c>
      <c r="P73" s="24" t="n">
        <f aca="false">ROUND((J73*'07 Scoring Model'!$B$5 + K73*'07 Scoring Model'!$B$6 + L73*'07 Scoring Model'!$B$7 + M73*'07 Scoring Model'!$B$8)*20,1)</f>
        <v>71</v>
      </c>
      <c r="Q73" s="25" t="n">
        <f aca="false">ROUND(P73*O73,1)</f>
        <v>56.8</v>
      </c>
      <c r="R73" s="16" t="str">
        <f aca="false">IF(Q73&gt;=70,"1 - Target now",IF(Q73&gt;=55,"2 - Target next",IF(Q73&gt;=40,"3 - Support only",IF(Q73&gt;=28,"4 - Defer","5 - Do not chase organically"))))</f>
        <v>2 - Target next</v>
      </c>
      <c r="S73" s="4" t="s">
        <v>38</v>
      </c>
      <c r="T73" s="4" t="s">
        <v>663</v>
      </c>
    </row>
    <row r="75" customFormat="false" ht="15" hidden="false" customHeight="false" outlineLevel="0" collapsed="false">
      <c r="A75" s="6" t="s">
        <v>664</v>
      </c>
    </row>
    <row r="76" customFormat="false" ht="15" hidden="false" customHeight="false" outlineLevel="0" collapsed="false">
      <c r="A76" s="8" t="s">
        <v>665</v>
      </c>
      <c r="B76" s="26" t="n">
        <f aca="false">COUNTA(A4:A73)</f>
        <v>70</v>
      </c>
    </row>
    <row r="77" customFormat="false" ht="15" hidden="false" customHeight="false" outlineLevel="0" collapsed="false">
      <c r="A77" s="8" t="s">
        <v>666</v>
      </c>
      <c r="B77" s="26" t="n">
        <f aca="false">COUNTIF(N4:N73,"A")</f>
        <v>22</v>
      </c>
    </row>
    <row r="78" customFormat="false" ht="15" hidden="false" customHeight="false" outlineLevel="0" collapsed="false">
      <c r="A78" s="8" t="s">
        <v>667</v>
      </c>
      <c r="B78" s="26" t="n">
        <f aca="false">COUNTIF(N4:N73,"B")</f>
        <v>22</v>
      </c>
    </row>
    <row r="79" customFormat="false" ht="15" hidden="false" customHeight="false" outlineLevel="0" collapsed="false">
      <c r="A79" s="8" t="s">
        <v>668</v>
      </c>
      <c r="B79" s="26" t="n">
        <f aca="false">COUNTIF(N4:N73,"C")</f>
        <v>23</v>
      </c>
    </row>
    <row r="80" customFormat="false" ht="15" hidden="false" customHeight="false" outlineLevel="0" collapsed="false">
      <c r="A80" s="8" t="s">
        <v>669</v>
      </c>
      <c r="B80" s="26" t="n">
        <f aca="false">COUNTIF(N4:N73,"D")</f>
        <v>3</v>
      </c>
    </row>
    <row r="81" customFormat="false" ht="15" hidden="false" customHeight="false" outlineLevel="0" collapsed="false">
      <c r="A81" s="8" t="s">
        <v>670</v>
      </c>
      <c r="B81" s="26" t="n">
        <f aca="false">COUNTIF(B4:B73,"Transactional")</f>
        <v>48</v>
      </c>
    </row>
    <row r="82" customFormat="false" ht="15" hidden="false" customHeight="false" outlineLevel="0" collapsed="false">
      <c r="A82" s="8" t="s">
        <v>426</v>
      </c>
      <c r="B82" s="26" t="n">
        <f aca="false">COUNTIF(B4:B73,"Commercial")</f>
        <v>16</v>
      </c>
    </row>
    <row r="83" customFormat="false" ht="15" hidden="false" customHeight="false" outlineLevel="0" collapsed="false">
      <c r="A83" s="8" t="s">
        <v>671</v>
      </c>
      <c r="B83" s="26" t="n">
        <f aca="false">COUNTIF(C4:C73,"US")</f>
        <v>36</v>
      </c>
    </row>
    <row r="84" customFormat="false" ht="15" hidden="false" customHeight="false" outlineLevel="0" collapsed="false">
      <c r="A84" s="8" t="s">
        <v>672</v>
      </c>
      <c r="B84" s="26" t="n">
        <f aca="false">COUNTIF(C4:C73,"UK")</f>
        <v>16</v>
      </c>
    </row>
    <row r="85" customFormat="false" ht="15" hidden="false" customHeight="false" outlineLevel="0" collapsed="false">
      <c r="A85" s="8" t="s">
        <v>673</v>
      </c>
      <c r="B85" s="26" t="n">
        <f aca="false">COUNTIF(C4:C73,"AU")</f>
        <v>15</v>
      </c>
    </row>
    <row r="86" customFormat="false" ht="15" hidden="false" customHeight="false" outlineLevel="0" collapsed="false">
      <c r="A86" s="8" t="s">
        <v>674</v>
      </c>
      <c r="B86" s="26" t="n">
        <f aca="false">COUNTIF(R4:R73,"1 - Target now")</f>
        <v>20</v>
      </c>
    </row>
    <row r="87" customFormat="false" ht="15" hidden="false" customHeight="false" outlineLevel="0" collapsed="false">
      <c r="A87" s="8" t="s">
        <v>675</v>
      </c>
      <c r="B87" s="26" t="n">
        <f aca="false">COUNTIF(R4:R73,"5 - Do not chase organically")</f>
        <v>3</v>
      </c>
    </row>
    <row r="88" customFormat="false" ht="15" hidden="false" customHeight="false" outlineLevel="0" collapsed="false">
      <c r="A88" s="8" t="s">
        <v>676</v>
      </c>
      <c r="B88" s="27" t="n">
        <f aca="false">ROUND(AVERAGE(Q4:Q73),1)</f>
        <v>60.5</v>
      </c>
    </row>
    <row r="89" customFormat="false" ht="15" hidden="false" customHeight="false" outlineLevel="0" collapsed="false">
      <c r="A89" s="8" t="s">
        <v>677</v>
      </c>
      <c r="B89" s="27" t="n">
        <f aca="false">ROUND(MAX(Q4:Q73),1)</f>
        <v>92</v>
      </c>
    </row>
  </sheetData>
  <autoFilter ref="A3:T7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K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34"/>
    <col collapsed="false" customWidth="true" hidden="false" outlineLevel="0" max="3" min="3" style="0" width="14"/>
    <col collapsed="false" customWidth="true" hidden="false" outlineLevel="0" max="4" min="4" style="0" width="10"/>
    <col collapsed="false" customWidth="true" hidden="false" outlineLevel="0" max="5" min="5" style="0" width="38"/>
    <col collapsed="false" customWidth="true" hidden="false" outlineLevel="0" max="6" min="6" style="0" width="15"/>
    <col collapsed="false" customWidth="true" hidden="false" outlineLevel="0" max="7" min="7" style="0" width="10"/>
    <col collapsed="false" customWidth="true" hidden="false" outlineLevel="0" max="8" min="8" style="0" width="8"/>
    <col collapsed="false" customWidth="true" hidden="false" outlineLevel="0" max="9" min="9" style="0" width="16"/>
    <col collapsed="false" customWidth="true" hidden="false" outlineLevel="0" max="10" min="10" style="0" width="15"/>
    <col collapsed="false" customWidth="true" hidden="false" outlineLevel="0" max="11" min="11" style="0" width="62"/>
  </cols>
  <sheetData>
    <row r="1" customFormat="false" ht="17.35" hidden="false" customHeight="false" outlineLevel="0" collapsed="false">
      <c r="A1" s="1" t="s">
        <v>678</v>
      </c>
    </row>
    <row r="2" customFormat="false" ht="15" hidden="false" customHeight="false" outlineLevel="0" collapsed="false">
      <c r="A2" s="2" t="s">
        <v>679</v>
      </c>
    </row>
    <row r="3" customFormat="false" ht="30" hidden="false" customHeight="true" outlineLevel="0" collapsed="false">
      <c r="A3" s="3" t="s">
        <v>680</v>
      </c>
      <c r="B3" s="3" t="s">
        <v>681</v>
      </c>
      <c r="C3" s="3" t="s">
        <v>285</v>
      </c>
      <c r="D3" s="3" t="s">
        <v>333</v>
      </c>
      <c r="E3" s="3" t="s">
        <v>682</v>
      </c>
      <c r="F3" s="3" t="s">
        <v>458</v>
      </c>
      <c r="G3" s="3" t="s">
        <v>459</v>
      </c>
      <c r="H3" s="3" t="s">
        <v>437</v>
      </c>
      <c r="I3" s="3" t="s">
        <v>683</v>
      </c>
      <c r="J3" s="3" t="s">
        <v>684</v>
      </c>
      <c r="K3" s="3" t="s">
        <v>475</v>
      </c>
    </row>
    <row r="4" customFormat="false" ht="15" hidden="false" customHeight="false" outlineLevel="0" collapsed="false">
      <c r="A4" s="4" t="s">
        <v>316</v>
      </c>
      <c r="B4" s="10" t="s">
        <v>685</v>
      </c>
      <c r="C4" s="10" t="s">
        <v>657</v>
      </c>
      <c r="D4" s="12" t="s">
        <v>338</v>
      </c>
      <c r="E4" s="4" t="s">
        <v>654</v>
      </c>
      <c r="F4" s="10" t="s">
        <v>655</v>
      </c>
      <c r="G4" s="10" t="s">
        <v>656</v>
      </c>
      <c r="H4" s="10" t="s">
        <v>441</v>
      </c>
      <c r="I4" s="10" t="s">
        <v>686</v>
      </c>
      <c r="J4" s="10" t="s">
        <v>687</v>
      </c>
      <c r="K4" s="4" t="s">
        <v>688</v>
      </c>
    </row>
    <row r="5" customFormat="false" ht="15" hidden="false" customHeight="false" outlineLevel="0" collapsed="false">
      <c r="A5" s="4" t="s">
        <v>689</v>
      </c>
      <c r="B5" s="10" t="s">
        <v>316</v>
      </c>
      <c r="C5" s="10" t="s">
        <v>587</v>
      </c>
      <c r="D5" s="12" t="s">
        <v>338</v>
      </c>
      <c r="E5" s="4" t="s">
        <v>690</v>
      </c>
      <c r="F5" s="10" t="s">
        <v>493</v>
      </c>
      <c r="G5" s="10" t="s">
        <v>656</v>
      </c>
      <c r="H5" s="10" t="s">
        <v>447</v>
      </c>
      <c r="I5" s="10" t="s">
        <v>686</v>
      </c>
      <c r="J5" s="10" t="s">
        <v>691</v>
      </c>
      <c r="K5" s="4" t="s">
        <v>692</v>
      </c>
    </row>
    <row r="6" customFormat="false" ht="23.85" hidden="false" customHeight="false" outlineLevel="0" collapsed="false">
      <c r="A6" s="4" t="s">
        <v>479</v>
      </c>
      <c r="B6" s="10" t="s">
        <v>689</v>
      </c>
      <c r="C6" s="10" t="s">
        <v>337</v>
      </c>
      <c r="D6" s="12" t="s">
        <v>338</v>
      </c>
      <c r="E6" s="4" t="s">
        <v>476</v>
      </c>
      <c r="F6" s="10" t="s">
        <v>477</v>
      </c>
      <c r="G6" s="10" t="s">
        <v>478</v>
      </c>
      <c r="H6" s="10" t="s">
        <v>447</v>
      </c>
      <c r="I6" s="10" t="s">
        <v>686</v>
      </c>
      <c r="J6" s="10" t="s">
        <v>691</v>
      </c>
      <c r="K6" s="4" t="s">
        <v>693</v>
      </c>
    </row>
    <row r="7" customFormat="false" ht="15" hidden="false" customHeight="false" outlineLevel="0" collapsed="false">
      <c r="A7" s="4" t="s">
        <v>489</v>
      </c>
      <c r="B7" s="10" t="s">
        <v>689</v>
      </c>
      <c r="C7" s="10" t="s">
        <v>337</v>
      </c>
      <c r="D7" s="12" t="s">
        <v>338</v>
      </c>
      <c r="E7" s="4" t="s">
        <v>488</v>
      </c>
      <c r="F7" s="10" t="s">
        <v>477</v>
      </c>
      <c r="G7" s="10" t="s">
        <v>478</v>
      </c>
      <c r="H7" s="10" t="s">
        <v>444</v>
      </c>
      <c r="I7" s="10" t="s">
        <v>686</v>
      </c>
      <c r="J7" s="10" t="s">
        <v>691</v>
      </c>
      <c r="K7" s="4" t="s">
        <v>694</v>
      </c>
    </row>
    <row r="8" customFormat="false" ht="15" hidden="false" customHeight="false" outlineLevel="0" collapsed="false">
      <c r="A8" s="4" t="s">
        <v>517</v>
      </c>
      <c r="B8" s="10" t="s">
        <v>689</v>
      </c>
      <c r="C8" s="10" t="s">
        <v>337</v>
      </c>
      <c r="D8" s="12" t="s">
        <v>338</v>
      </c>
      <c r="E8" s="4" t="s">
        <v>516</v>
      </c>
      <c r="F8" s="10" t="s">
        <v>477</v>
      </c>
      <c r="G8" s="10" t="s">
        <v>478</v>
      </c>
      <c r="H8" s="10" t="s">
        <v>447</v>
      </c>
      <c r="I8" s="10" t="s">
        <v>686</v>
      </c>
      <c r="J8" s="10" t="s">
        <v>691</v>
      </c>
      <c r="K8" s="4"/>
    </row>
    <row r="9" customFormat="false" ht="15" hidden="false" customHeight="false" outlineLevel="0" collapsed="false">
      <c r="A9" s="4" t="s">
        <v>522</v>
      </c>
      <c r="B9" s="10" t="s">
        <v>517</v>
      </c>
      <c r="C9" s="10" t="s">
        <v>523</v>
      </c>
      <c r="D9" s="10" t="s">
        <v>399</v>
      </c>
      <c r="E9" s="4" t="s">
        <v>521</v>
      </c>
      <c r="F9" s="10" t="s">
        <v>477</v>
      </c>
      <c r="G9" s="10" t="s">
        <v>478</v>
      </c>
      <c r="H9" s="10" t="s">
        <v>444</v>
      </c>
      <c r="I9" s="28" t="s">
        <v>480</v>
      </c>
      <c r="J9" s="10" t="s">
        <v>691</v>
      </c>
      <c r="K9" s="4" t="s">
        <v>695</v>
      </c>
    </row>
    <row r="10" customFormat="false" ht="15" hidden="false" customHeight="false" outlineLevel="0" collapsed="false">
      <c r="A10" s="4" t="s">
        <v>529</v>
      </c>
      <c r="B10" s="10" t="s">
        <v>517</v>
      </c>
      <c r="C10" s="10" t="s">
        <v>523</v>
      </c>
      <c r="D10" s="10" t="s">
        <v>343</v>
      </c>
      <c r="E10" s="4" t="s">
        <v>528</v>
      </c>
      <c r="F10" s="10" t="s">
        <v>477</v>
      </c>
      <c r="G10" s="10" t="s">
        <v>478</v>
      </c>
      <c r="H10" s="10" t="s">
        <v>441</v>
      </c>
      <c r="I10" s="10" t="s">
        <v>686</v>
      </c>
      <c r="J10" s="10" t="s">
        <v>691</v>
      </c>
      <c r="K10" s="4" t="s">
        <v>696</v>
      </c>
    </row>
    <row r="11" customFormat="false" ht="15" hidden="false" customHeight="false" outlineLevel="0" collapsed="false">
      <c r="A11" s="4" t="s">
        <v>526</v>
      </c>
      <c r="B11" s="10" t="s">
        <v>689</v>
      </c>
      <c r="C11" s="10" t="s">
        <v>337</v>
      </c>
      <c r="D11" s="10" t="s">
        <v>343</v>
      </c>
      <c r="E11" s="4" t="s">
        <v>525</v>
      </c>
      <c r="F11" s="10" t="s">
        <v>477</v>
      </c>
      <c r="G11" s="10" t="s">
        <v>513</v>
      </c>
      <c r="H11" s="10" t="s">
        <v>441</v>
      </c>
      <c r="I11" s="10" t="s">
        <v>686</v>
      </c>
      <c r="J11" s="10" t="s">
        <v>691</v>
      </c>
      <c r="K11" s="4" t="s">
        <v>697</v>
      </c>
    </row>
    <row r="12" customFormat="false" ht="15" hidden="false" customHeight="false" outlineLevel="0" collapsed="false">
      <c r="A12" s="4" t="s">
        <v>532</v>
      </c>
      <c r="B12" s="10" t="s">
        <v>689</v>
      </c>
      <c r="C12" s="10" t="s">
        <v>337</v>
      </c>
      <c r="D12" s="10" t="s">
        <v>343</v>
      </c>
      <c r="E12" s="4" t="s">
        <v>698</v>
      </c>
      <c r="F12" s="10" t="s">
        <v>493</v>
      </c>
      <c r="G12" s="10" t="s">
        <v>487</v>
      </c>
      <c r="H12" s="10" t="s">
        <v>441</v>
      </c>
      <c r="I12" s="10" t="s">
        <v>686</v>
      </c>
      <c r="J12" s="10" t="s">
        <v>691</v>
      </c>
      <c r="K12" s="4" t="s">
        <v>699</v>
      </c>
    </row>
    <row r="13" customFormat="false" ht="15" hidden="false" customHeight="false" outlineLevel="0" collapsed="false">
      <c r="A13" s="4" t="s">
        <v>618</v>
      </c>
      <c r="B13" s="10" t="s">
        <v>689</v>
      </c>
      <c r="C13" s="10" t="s">
        <v>337</v>
      </c>
      <c r="D13" s="12" t="s">
        <v>338</v>
      </c>
      <c r="E13" s="4" t="s">
        <v>617</v>
      </c>
      <c r="F13" s="10" t="s">
        <v>477</v>
      </c>
      <c r="G13" s="10" t="s">
        <v>478</v>
      </c>
      <c r="H13" s="10" t="s">
        <v>450</v>
      </c>
      <c r="I13" s="10" t="s">
        <v>686</v>
      </c>
      <c r="J13" s="10" t="s">
        <v>691</v>
      </c>
      <c r="K13" s="4" t="s">
        <v>700</v>
      </c>
    </row>
    <row r="14" customFormat="false" ht="15" hidden="false" customHeight="false" outlineLevel="0" collapsed="false">
      <c r="A14" s="4" t="s">
        <v>627</v>
      </c>
      <c r="B14" s="10" t="s">
        <v>689</v>
      </c>
      <c r="C14" s="10" t="s">
        <v>337</v>
      </c>
      <c r="D14" s="10" t="s">
        <v>343</v>
      </c>
      <c r="E14" s="4" t="s">
        <v>626</v>
      </c>
      <c r="F14" s="10" t="s">
        <v>477</v>
      </c>
      <c r="G14" s="10" t="s">
        <v>478</v>
      </c>
      <c r="H14" s="10" t="s">
        <v>447</v>
      </c>
      <c r="I14" s="10" t="s">
        <v>686</v>
      </c>
      <c r="J14" s="10" t="s">
        <v>691</v>
      </c>
      <c r="K14" s="4" t="s">
        <v>701</v>
      </c>
    </row>
    <row r="15" customFormat="false" ht="23.85" hidden="false" customHeight="false" outlineLevel="0" collapsed="false">
      <c r="A15" s="4" t="s">
        <v>503</v>
      </c>
      <c r="B15" s="10" t="s">
        <v>689</v>
      </c>
      <c r="C15" s="10" t="s">
        <v>337</v>
      </c>
      <c r="D15" s="12" t="s">
        <v>338</v>
      </c>
      <c r="E15" s="4" t="s">
        <v>502</v>
      </c>
      <c r="F15" s="10" t="s">
        <v>477</v>
      </c>
      <c r="G15" s="10" t="s">
        <v>478</v>
      </c>
      <c r="H15" s="10" t="s">
        <v>444</v>
      </c>
      <c r="I15" s="10" t="s">
        <v>686</v>
      </c>
      <c r="J15" s="10" t="s">
        <v>691</v>
      </c>
      <c r="K15" s="4" t="s">
        <v>702</v>
      </c>
    </row>
    <row r="16" customFormat="false" ht="15" hidden="false" customHeight="false" outlineLevel="0" collapsed="false">
      <c r="A16" s="4" t="s">
        <v>539</v>
      </c>
      <c r="B16" s="10" t="s">
        <v>689</v>
      </c>
      <c r="C16" s="10" t="s">
        <v>337</v>
      </c>
      <c r="D16" s="10" t="s">
        <v>343</v>
      </c>
      <c r="E16" s="4" t="s">
        <v>538</v>
      </c>
      <c r="F16" s="10" t="s">
        <v>477</v>
      </c>
      <c r="G16" s="10" t="s">
        <v>487</v>
      </c>
      <c r="H16" s="10" t="s">
        <v>444</v>
      </c>
      <c r="I16" s="28" t="s">
        <v>480</v>
      </c>
      <c r="J16" s="10" t="s">
        <v>691</v>
      </c>
      <c r="K16" s="4" t="s">
        <v>703</v>
      </c>
    </row>
    <row r="17" customFormat="false" ht="23.85" hidden="false" customHeight="false" outlineLevel="0" collapsed="false">
      <c r="A17" s="4" t="s">
        <v>542</v>
      </c>
      <c r="B17" s="10" t="s">
        <v>539</v>
      </c>
      <c r="C17" s="10" t="s">
        <v>523</v>
      </c>
      <c r="D17" s="10" t="s">
        <v>399</v>
      </c>
      <c r="E17" s="4" t="s">
        <v>541</v>
      </c>
      <c r="F17" s="10" t="s">
        <v>477</v>
      </c>
      <c r="G17" s="10" t="s">
        <v>487</v>
      </c>
      <c r="H17" s="10" t="s">
        <v>441</v>
      </c>
      <c r="I17" s="28" t="s">
        <v>480</v>
      </c>
      <c r="J17" s="10" t="s">
        <v>691</v>
      </c>
      <c r="K17" s="4"/>
    </row>
    <row r="18" customFormat="false" ht="23.85" hidden="false" customHeight="false" outlineLevel="0" collapsed="false">
      <c r="A18" s="29" t="s">
        <v>554</v>
      </c>
      <c r="B18" s="13" t="s">
        <v>689</v>
      </c>
      <c r="C18" s="13" t="s">
        <v>337</v>
      </c>
      <c r="D18" s="13" t="s">
        <v>343</v>
      </c>
      <c r="E18" s="29" t="s">
        <v>553</v>
      </c>
      <c r="F18" s="13" t="s">
        <v>477</v>
      </c>
      <c r="G18" s="13" t="s">
        <v>513</v>
      </c>
      <c r="H18" s="13" t="s">
        <v>450</v>
      </c>
      <c r="I18" s="13" t="s">
        <v>560</v>
      </c>
      <c r="J18" s="13" t="s">
        <v>704</v>
      </c>
      <c r="K18" s="29" t="s">
        <v>705</v>
      </c>
    </row>
    <row r="19" customFormat="false" ht="15" hidden="false" customHeight="false" outlineLevel="0" collapsed="false">
      <c r="A19" s="29" t="s">
        <v>706</v>
      </c>
      <c r="B19" s="13" t="s">
        <v>554</v>
      </c>
      <c r="C19" s="13" t="s">
        <v>523</v>
      </c>
      <c r="D19" s="13" t="s">
        <v>399</v>
      </c>
      <c r="E19" s="29" t="s">
        <v>707</v>
      </c>
      <c r="F19" s="13" t="s">
        <v>477</v>
      </c>
      <c r="G19" s="13" t="s">
        <v>478</v>
      </c>
      <c r="H19" s="13" t="s">
        <v>447</v>
      </c>
      <c r="I19" s="13" t="s">
        <v>560</v>
      </c>
      <c r="J19" s="13" t="s">
        <v>704</v>
      </c>
      <c r="K19" s="29"/>
    </row>
    <row r="20" customFormat="false" ht="15" hidden="false" customHeight="false" outlineLevel="0" collapsed="false">
      <c r="A20" s="29" t="s">
        <v>559</v>
      </c>
      <c r="B20" s="13" t="s">
        <v>554</v>
      </c>
      <c r="C20" s="13" t="s">
        <v>523</v>
      </c>
      <c r="D20" s="13" t="s">
        <v>399</v>
      </c>
      <c r="E20" s="29" t="s">
        <v>558</v>
      </c>
      <c r="F20" s="13" t="s">
        <v>477</v>
      </c>
      <c r="G20" s="13" t="s">
        <v>487</v>
      </c>
      <c r="H20" s="13" t="s">
        <v>447</v>
      </c>
      <c r="I20" s="13" t="s">
        <v>560</v>
      </c>
      <c r="J20" s="13" t="s">
        <v>704</v>
      </c>
      <c r="K20" s="29"/>
    </row>
    <row r="21" customFormat="false" ht="15" hidden="false" customHeight="false" outlineLevel="0" collapsed="false">
      <c r="A21" s="29" t="s">
        <v>565</v>
      </c>
      <c r="B21" s="13" t="s">
        <v>554</v>
      </c>
      <c r="C21" s="13" t="s">
        <v>523</v>
      </c>
      <c r="D21" s="13" t="s">
        <v>399</v>
      </c>
      <c r="E21" s="29" t="s">
        <v>564</v>
      </c>
      <c r="F21" s="13" t="s">
        <v>477</v>
      </c>
      <c r="G21" s="13" t="s">
        <v>478</v>
      </c>
      <c r="H21" s="13" t="s">
        <v>444</v>
      </c>
      <c r="I21" s="13" t="s">
        <v>560</v>
      </c>
      <c r="J21" s="13" t="s">
        <v>704</v>
      </c>
      <c r="K21" s="29" t="s">
        <v>708</v>
      </c>
    </row>
    <row r="22" customFormat="false" ht="15" hidden="false" customHeight="false" outlineLevel="0" collapsed="false">
      <c r="A22" s="4" t="s">
        <v>709</v>
      </c>
      <c r="B22" s="10" t="s">
        <v>689</v>
      </c>
      <c r="C22" s="10" t="s">
        <v>587</v>
      </c>
      <c r="D22" s="10" t="s">
        <v>343</v>
      </c>
      <c r="E22" s="4" t="s">
        <v>710</v>
      </c>
      <c r="F22" s="10" t="s">
        <v>493</v>
      </c>
      <c r="G22" s="10" t="s">
        <v>656</v>
      </c>
      <c r="H22" s="10" t="s">
        <v>450</v>
      </c>
      <c r="I22" s="28" t="s">
        <v>480</v>
      </c>
      <c r="J22" s="10" t="s">
        <v>691</v>
      </c>
      <c r="K22" s="4" t="s">
        <v>711</v>
      </c>
    </row>
    <row r="23" customFormat="false" ht="15" hidden="false" customHeight="false" outlineLevel="0" collapsed="false">
      <c r="A23" s="4" t="s">
        <v>591</v>
      </c>
      <c r="B23" s="10" t="s">
        <v>709</v>
      </c>
      <c r="C23" s="10" t="s">
        <v>523</v>
      </c>
      <c r="D23" s="10" t="s">
        <v>343</v>
      </c>
      <c r="E23" s="4" t="s">
        <v>590</v>
      </c>
      <c r="F23" s="10" t="s">
        <v>477</v>
      </c>
      <c r="G23" s="10" t="s">
        <v>487</v>
      </c>
      <c r="H23" s="10" t="s">
        <v>447</v>
      </c>
      <c r="I23" s="28" t="s">
        <v>480</v>
      </c>
      <c r="J23" s="10" t="s">
        <v>691</v>
      </c>
      <c r="K23" s="4"/>
    </row>
    <row r="24" customFormat="false" ht="15" hidden="false" customHeight="false" outlineLevel="0" collapsed="false">
      <c r="A24" s="4" t="s">
        <v>593</v>
      </c>
      <c r="B24" s="10" t="s">
        <v>709</v>
      </c>
      <c r="C24" s="10" t="s">
        <v>523</v>
      </c>
      <c r="D24" s="10" t="s">
        <v>399</v>
      </c>
      <c r="E24" s="4" t="s">
        <v>592</v>
      </c>
      <c r="F24" s="10" t="s">
        <v>477</v>
      </c>
      <c r="G24" s="10" t="s">
        <v>478</v>
      </c>
      <c r="H24" s="10" t="s">
        <v>447</v>
      </c>
      <c r="I24" s="28" t="s">
        <v>480</v>
      </c>
      <c r="J24" s="10" t="s">
        <v>691</v>
      </c>
      <c r="K24" s="4"/>
    </row>
    <row r="25" customFormat="false" ht="15" hidden="false" customHeight="false" outlineLevel="0" collapsed="false">
      <c r="A25" s="4" t="s">
        <v>598</v>
      </c>
      <c r="B25" s="10" t="s">
        <v>709</v>
      </c>
      <c r="C25" s="10" t="s">
        <v>523</v>
      </c>
      <c r="D25" s="10" t="s">
        <v>399</v>
      </c>
      <c r="E25" s="4" t="s">
        <v>597</v>
      </c>
      <c r="F25" s="10" t="s">
        <v>477</v>
      </c>
      <c r="G25" s="10" t="s">
        <v>487</v>
      </c>
      <c r="H25" s="10" t="s">
        <v>444</v>
      </c>
      <c r="I25" s="28" t="s">
        <v>480</v>
      </c>
      <c r="J25" s="10" t="s">
        <v>691</v>
      </c>
      <c r="K25" s="4"/>
    </row>
    <row r="26" customFormat="false" ht="15" hidden="false" customHeight="false" outlineLevel="0" collapsed="false">
      <c r="A26" s="4" t="s">
        <v>595</v>
      </c>
      <c r="B26" s="10" t="s">
        <v>709</v>
      </c>
      <c r="C26" s="10" t="s">
        <v>523</v>
      </c>
      <c r="D26" s="10" t="s">
        <v>343</v>
      </c>
      <c r="E26" s="4" t="s">
        <v>594</v>
      </c>
      <c r="F26" s="10" t="s">
        <v>477</v>
      </c>
      <c r="G26" s="10" t="s">
        <v>513</v>
      </c>
      <c r="H26" s="10" t="s">
        <v>444</v>
      </c>
      <c r="I26" s="28" t="s">
        <v>480</v>
      </c>
      <c r="J26" s="10" t="s">
        <v>691</v>
      </c>
      <c r="K26" s="4" t="s">
        <v>712</v>
      </c>
    </row>
    <row r="27" customFormat="false" ht="15" hidden="false" customHeight="false" outlineLevel="0" collapsed="false">
      <c r="A27" s="29" t="s">
        <v>568</v>
      </c>
      <c r="B27" s="13" t="s">
        <v>709</v>
      </c>
      <c r="C27" s="13" t="s">
        <v>523</v>
      </c>
      <c r="D27" s="13" t="s">
        <v>713</v>
      </c>
      <c r="E27" s="29" t="s">
        <v>567</v>
      </c>
      <c r="F27" s="13" t="s">
        <v>477</v>
      </c>
      <c r="G27" s="13" t="s">
        <v>513</v>
      </c>
      <c r="H27" s="13" t="s">
        <v>447</v>
      </c>
      <c r="I27" s="13" t="s">
        <v>560</v>
      </c>
      <c r="J27" s="13" t="s">
        <v>704</v>
      </c>
      <c r="K27" s="29"/>
    </row>
    <row r="28" customFormat="false" ht="15" hidden="false" customHeight="false" outlineLevel="0" collapsed="false">
      <c r="A28" s="4" t="s">
        <v>714</v>
      </c>
      <c r="B28" s="10" t="s">
        <v>689</v>
      </c>
      <c r="C28" s="10" t="s">
        <v>587</v>
      </c>
      <c r="D28" s="10" t="s">
        <v>343</v>
      </c>
      <c r="E28" s="4" t="s">
        <v>715</v>
      </c>
      <c r="F28" s="10" t="s">
        <v>477</v>
      </c>
      <c r="G28" s="10" t="s">
        <v>478</v>
      </c>
      <c r="H28" s="10" t="s">
        <v>450</v>
      </c>
      <c r="I28" s="10" t="s">
        <v>686</v>
      </c>
      <c r="J28" s="10" t="s">
        <v>691</v>
      </c>
      <c r="K28" s="4"/>
    </row>
    <row r="29" customFormat="false" ht="15" hidden="false" customHeight="false" outlineLevel="0" collapsed="false">
      <c r="A29" s="4" t="s">
        <v>614</v>
      </c>
      <c r="B29" s="10" t="s">
        <v>714</v>
      </c>
      <c r="C29" s="10" t="s">
        <v>523</v>
      </c>
      <c r="D29" s="10" t="s">
        <v>399</v>
      </c>
      <c r="E29" s="4" t="s">
        <v>613</v>
      </c>
      <c r="F29" s="10" t="s">
        <v>477</v>
      </c>
      <c r="G29" s="10" t="s">
        <v>513</v>
      </c>
      <c r="H29" s="10" t="s">
        <v>447</v>
      </c>
      <c r="I29" s="28" t="s">
        <v>480</v>
      </c>
      <c r="J29" s="10" t="s">
        <v>691</v>
      </c>
      <c r="K29" s="4"/>
    </row>
    <row r="30" customFormat="false" ht="15" hidden="false" customHeight="false" outlineLevel="0" collapsed="false">
      <c r="A30" s="4" t="s">
        <v>616</v>
      </c>
      <c r="B30" s="10" t="s">
        <v>714</v>
      </c>
      <c r="C30" s="10" t="s">
        <v>523</v>
      </c>
      <c r="D30" s="10" t="s">
        <v>399</v>
      </c>
      <c r="E30" s="4" t="s">
        <v>615</v>
      </c>
      <c r="F30" s="10" t="s">
        <v>477</v>
      </c>
      <c r="G30" s="10" t="s">
        <v>478</v>
      </c>
      <c r="H30" s="10" t="s">
        <v>447</v>
      </c>
      <c r="I30" s="10" t="s">
        <v>686</v>
      </c>
      <c r="J30" s="10" t="s">
        <v>691</v>
      </c>
      <c r="K30" s="4"/>
    </row>
    <row r="31" customFormat="false" ht="35.05" hidden="false" customHeight="false" outlineLevel="0" collapsed="false">
      <c r="A31" s="4" t="s">
        <v>603</v>
      </c>
      <c r="B31" s="10" t="s">
        <v>689</v>
      </c>
      <c r="C31" s="10" t="s">
        <v>337</v>
      </c>
      <c r="D31" s="10" t="s">
        <v>343</v>
      </c>
      <c r="E31" s="4" t="s">
        <v>607</v>
      </c>
      <c r="F31" s="10" t="s">
        <v>477</v>
      </c>
      <c r="G31" s="10" t="s">
        <v>487</v>
      </c>
      <c r="H31" s="10" t="s">
        <v>444</v>
      </c>
      <c r="I31" s="10" t="s">
        <v>686</v>
      </c>
      <c r="J31" s="10" t="s">
        <v>691</v>
      </c>
      <c r="K31" s="4" t="s">
        <v>716</v>
      </c>
    </row>
    <row r="32" customFormat="false" ht="15" hidden="false" customHeight="false" outlineLevel="0" collapsed="false">
      <c r="A32" s="29" t="s">
        <v>605</v>
      </c>
      <c r="B32" s="13" t="s">
        <v>603</v>
      </c>
      <c r="C32" s="13" t="s">
        <v>523</v>
      </c>
      <c r="D32" s="13" t="s">
        <v>713</v>
      </c>
      <c r="E32" s="29" t="s">
        <v>604</v>
      </c>
      <c r="F32" s="13" t="s">
        <v>477</v>
      </c>
      <c r="G32" s="13" t="s">
        <v>513</v>
      </c>
      <c r="H32" s="13" t="s">
        <v>447</v>
      </c>
      <c r="I32" s="13" t="s">
        <v>560</v>
      </c>
      <c r="J32" s="13" t="s">
        <v>704</v>
      </c>
      <c r="K32" s="29"/>
    </row>
    <row r="33" customFormat="false" ht="15" hidden="false" customHeight="false" outlineLevel="0" collapsed="false">
      <c r="A33" s="4" t="s">
        <v>586</v>
      </c>
      <c r="B33" s="10" t="s">
        <v>689</v>
      </c>
      <c r="C33" s="10" t="s">
        <v>587</v>
      </c>
      <c r="D33" s="10" t="s">
        <v>343</v>
      </c>
      <c r="E33" s="4" t="s">
        <v>585</v>
      </c>
      <c r="F33" s="10" t="s">
        <v>477</v>
      </c>
      <c r="G33" s="10" t="s">
        <v>478</v>
      </c>
      <c r="H33" s="10" t="s">
        <v>444</v>
      </c>
      <c r="I33" s="10" t="s">
        <v>686</v>
      </c>
      <c r="J33" s="10" t="s">
        <v>691</v>
      </c>
      <c r="K33" s="4" t="s">
        <v>717</v>
      </c>
    </row>
    <row r="34" customFormat="false" ht="15" hidden="false" customHeight="false" outlineLevel="0" collapsed="false">
      <c r="A34" s="4" t="s">
        <v>578</v>
      </c>
      <c r="B34" s="10" t="s">
        <v>586</v>
      </c>
      <c r="C34" s="10" t="s">
        <v>575</v>
      </c>
      <c r="D34" s="10" t="s">
        <v>399</v>
      </c>
      <c r="E34" s="4" t="s">
        <v>577</v>
      </c>
      <c r="F34" s="10" t="s">
        <v>477</v>
      </c>
      <c r="G34" s="10" t="s">
        <v>478</v>
      </c>
      <c r="H34" s="10" t="s">
        <v>441</v>
      </c>
      <c r="I34" s="28" t="s">
        <v>480</v>
      </c>
      <c r="J34" s="10" t="s">
        <v>691</v>
      </c>
      <c r="K34" s="4" t="s">
        <v>718</v>
      </c>
    </row>
    <row r="35" customFormat="false" ht="15" hidden="false" customHeight="false" outlineLevel="0" collapsed="false">
      <c r="A35" s="4" t="s">
        <v>581</v>
      </c>
      <c r="B35" s="10" t="s">
        <v>586</v>
      </c>
      <c r="C35" s="10" t="s">
        <v>575</v>
      </c>
      <c r="D35" s="10" t="s">
        <v>399</v>
      </c>
      <c r="E35" s="4" t="s">
        <v>580</v>
      </c>
      <c r="F35" s="10" t="s">
        <v>477</v>
      </c>
      <c r="G35" s="10" t="s">
        <v>478</v>
      </c>
      <c r="H35" s="10" t="s">
        <v>441</v>
      </c>
      <c r="I35" s="28" t="s">
        <v>480</v>
      </c>
      <c r="J35" s="10" t="s">
        <v>691</v>
      </c>
      <c r="K35" s="4"/>
    </row>
    <row r="36" customFormat="false" ht="15" hidden="false" customHeight="false" outlineLevel="0" collapsed="false">
      <c r="A36" s="4" t="s">
        <v>583</v>
      </c>
      <c r="B36" s="10" t="s">
        <v>586</v>
      </c>
      <c r="C36" s="10" t="s">
        <v>575</v>
      </c>
      <c r="D36" s="10" t="s">
        <v>399</v>
      </c>
      <c r="E36" s="4" t="s">
        <v>582</v>
      </c>
      <c r="F36" s="10" t="s">
        <v>477</v>
      </c>
      <c r="G36" s="10" t="s">
        <v>487</v>
      </c>
      <c r="H36" s="10" t="s">
        <v>444</v>
      </c>
      <c r="I36" s="28" t="s">
        <v>480</v>
      </c>
      <c r="J36" s="10" t="s">
        <v>691</v>
      </c>
      <c r="K36" s="4"/>
    </row>
    <row r="37" customFormat="false" ht="15" hidden="false" customHeight="false" outlineLevel="0" collapsed="false">
      <c r="A37" s="4" t="s">
        <v>719</v>
      </c>
      <c r="B37" s="10" t="s">
        <v>689</v>
      </c>
      <c r="C37" s="10" t="s">
        <v>587</v>
      </c>
      <c r="D37" s="10" t="s">
        <v>399</v>
      </c>
      <c r="E37" s="4" t="s">
        <v>720</v>
      </c>
      <c r="F37" s="10" t="s">
        <v>477</v>
      </c>
      <c r="G37" s="10" t="s">
        <v>656</v>
      </c>
      <c r="H37" s="10" t="s">
        <v>447</v>
      </c>
      <c r="I37" s="10" t="s">
        <v>686</v>
      </c>
      <c r="J37" s="10" t="s">
        <v>691</v>
      </c>
      <c r="K37" s="4"/>
    </row>
    <row r="38" customFormat="false" ht="15" hidden="false" customHeight="false" outlineLevel="0" collapsed="false">
      <c r="A38" s="29" t="s">
        <v>544</v>
      </c>
      <c r="B38" s="13" t="s">
        <v>719</v>
      </c>
      <c r="C38" s="13" t="s">
        <v>545</v>
      </c>
      <c r="D38" s="13" t="s">
        <v>399</v>
      </c>
      <c r="E38" s="29" t="s">
        <v>543</v>
      </c>
      <c r="F38" s="13" t="s">
        <v>477</v>
      </c>
      <c r="G38" s="13" t="s">
        <v>513</v>
      </c>
      <c r="H38" s="13" t="s">
        <v>444</v>
      </c>
      <c r="I38" s="13" t="s">
        <v>560</v>
      </c>
      <c r="J38" s="13" t="s">
        <v>704</v>
      </c>
      <c r="K38" s="29"/>
    </row>
    <row r="39" customFormat="false" ht="15" hidden="false" customHeight="false" outlineLevel="0" collapsed="false">
      <c r="A39" s="4" t="s">
        <v>548</v>
      </c>
      <c r="B39" s="10" t="s">
        <v>719</v>
      </c>
      <c r="C39" s="10" t="s">
        <v>545</v>
      </c>
      <c r="D39" s="10" t="s">
        <v>399</v>
      </c>
      <c r="E39" s="4" t="s">
        <v>547</v>
      </c>
      <c r="F39" s="10" t="s">
        <v>477</v>
      </c>
      <c r="G39" s="10" t="s">
        <v>478</v>
      </c>
      <c r="H39" s="10" t="s">
        <v>441</v>
      </c>
      <c r="I39" s="28" t="s">
        <v>480</v>
      </c>
      <c r="J39" s="10" t="s">
        <v>691</v>
      </c>
      <c r="K39" s="4" t="s">
        <v>721</v>
      </c>
    </row>
    <row r="40" customFormat="false" ht="23.85" hidden="false" customHeight="false" outlineLevel="0" collapsed="false">
      <c r="A40" s="4" t="s">
        <v>722</v>
      </c>
      <c r="B40" s="10" t="s">
        <v>316</v>
      </c>
      <c r="C40" s="10" t="s">
        <v>587</v>
      </c>
      <c r="D40" s="10" t="s">
        <v>343</v>
      </c>
      <c r="E40" s="4" t="s">
        <v>723</v>
      </c>
      <c r="F40" s="10" t="s">
        <v>493</v>
      </c>
      <c r="G40" s="10" t="s">
        <v>656</v>
      </c>
      <c r="H40" s="10" t="s">
        <v>447</v>
      </c>
      <c r="I40" s="28" t="s">
        <v>480</v>
      </c>
      <c r="J40" s="10" t="s">
        <v>691</v>
      </c>
      <c r="K40" s="4" t="s">
        <v>724</v>
      </c>
    </row>
    <row r="41" customFormat="false" ht="15" hidden="false" customHeight="false" outlineLevel="0" collapsed="false">
      <c r="A41" s="4" t="s">
        <v>629</v>
      </c>
      <c r="B41" s="10" t="s">
        <v>722</v>
      </c>
      <c r="C41" s="10" t="s">
        <v>630</v>
      </c>
      <c r="D41" s="10" t="s">
        <v>343</v>
      </c>
      <c r="E41" s="4" t="s">
        <v>628</v>
      </c>
      <c r="F41" s="10" t="s">
        <v>493</v>
      </c>
      <c r="G41" s="10" t="s">
        <v>478</v>
      </c>
      <c r="H41" s="10" t="s">
        <v>447</v>
      </c>
      <c r="I41" s="28" t="s">
        <v>480</v>
      </c>
      <c r="J41" s="10" t="s">
        <v>691</v>
      </c>
      <c r="K41" s="4" t="s">
        <v>725</v>
      </c>
    </row>
    <row r="42" customFormat="false" ht="15" hidden="false" customHeight="false" outlineLevel="0" collapsed="false">
      <c r="A42" s="4" t="s">
        <v>637</v>
      </c>
      <c r="B42" s="10" t="s">
        <v>722</v>
      </c>
      <c r="C42" s="10" t="s">
        <v>630</v>
      </c>
      <c r="D42" s="10" t="s">
        <v>399</v>
      </c>
      <c r="E42" s="4" t="s">
        <v>636</v>
      </c>
      <c r="F42" s="10" t="s">
        <v>493</v>
      </c>
      <c r="G42" s="10" t="s">
        <v>478</v>
      </c>
      <c r="H42" s="10" t="s">
        <v>447</v>
      </c>
      <c r="I42" s="28" t="s">
        <v>480</v>
      </c>
      <c r="J42" s="10" t="s">
        <v>691</v>
      </c>
      <c r="K42" s="4"/>
    </row>
    <row r="43" customFormat="false" ht="23.85" hidden="false" customHeight="false" outlineLevel="0" collapsed="false">
      <c r="A43" s="4" t="s">
        <v>634</v>
      </c>
      <c r="B43" s="10" t="s">
        <v>722</v>
      </c>
      <c r="C43" s="10" t="s">
        <v>630</v>
      </c>
      <c r="D43" s="10" t="s">
        <v>399</v>
      </c>
      <c r="E43" s="4" t="s">
        <v>633</v>
      </c>
      <c r="F43" s="10" t="s">
        <v>493</v>
      </c>
      <c r="G43" s="10" t="s">
        <v>513</v>
      </c>
      <c r="H43" s="10" t="s">
        <v>447</v>
      </c>
      <c r="I43" s="28" t="s">
        <v>480</v>
      </c>
      <c r="J43" s="10" t="s">
        <v>691</v>
      </c>
      <c r="K43" s="4" t="s">
        <v>726</v>
      </c>
    </row>
    <row r="44" customFormat="false" ht="15" hidden="false" customHeight="false" outlineLevel="0" collapsed="false">
      <c r="A44" s="4" t="s">
        <v>639</v>
      </c>
      <c r="B44" s="10" t="s">
        <v>722</v>
      </c>
      <c r="C44" s="10" t="s">
        <v>630</v>
      </c>
      <c r="D44" s="10" t="s">
        <v>399</v>
      </c>
      <c r="E44" s="4" t="s">
        <v>638</v>
      </c>
      <c r="F44" s="10" t="s">
        <v>493</v>
      </c>
      <c r="G44" s="10" t="s">
        <v>513</v>
      </c>
      <c r="H44" s="10" t="s">
        <v>447</v>
      </c>
      <c r="I44" s="28" t="s">
        <v>480</v>
      </c>
      <c r="J44" s="10" t="s">
        <v>691</v>
      </c>
      <c r="K44" s="4" t="s">
        <v>727</v>
      </c>
    </row>
    <row r="45" customFormat="false" ht="15" hidden="false" customHeight="false" outlineLevel="0" collapsed="false">
      <c r="A45" s="4" t="s">
        <v>728</v>
      </c>
      <c r="B45" s="10" t="s">
        <v>316</v>
      </c>
      <c r="C45" s="10" t="s">
        <v>587</v>
      </c>
      <c r="D45" s="10" t="s">
        <v>399</v>
      </c>
      <c r="E45" s="4" t="s">
        <v>685</v>
      </c>
      <c r="F45" s="10" t="s">
        <v>685</v>
      </c>
      <c r="G45" s="10" t="s">
        <v>656</v>
      </c>
      <c r="H45" s="10" t="s">
        <v>685</v>
      </c>
      <c r="I45" s="10" t="s">
        <v>686</v>
      </c>
      <c r="J45" s="10" t="s">
        <v>691</v>
      </c>
      <c r="K45" s="4" t="s">
        <v>729</v>
      </c>
    </row>
    <row r="46" customFormat="false" ht="15" hidden="false" customHeight="false" outlineLevel="0" collapsed="false">
      <c r="A46" s="4" t="s">
        <v>650</v>
      </c>
      <c r="B46" s="10" t="s">
        <v>728</v>
      </c>
      <c r="C46" s="10" t="s">
        <v>647</v>
      </c>
      <c r="D46" s="10" t="s">
        <v>399</v>
      </c>
      <c r="E46" s="4" t="s">
        <v>649</v>
      </c>
      <c r="F46" s="10" t="s">
        <v>477</v>
      </c>
      <c r="G46" s="10" t="s">
        <v>487</v>
      </c>
      <c r="H46" s="10" t="s">
        <v>444</v>
      </c>
      <c r="I46" s="28" t="s">
        <v>480</v>
      </c>
      <c r="J46" s="10" t="s">
        <v>691</v>
      </c>
      <c r="K46" s="4" t="s">
        <v>651</v>
      </c>
    </row>
    <row r="47" customFormat="false" ht="15" hidden="false" customHeight="false" outlineLevel="0" collapsed="false">
      <c r="A47" s="4" t="s">
        <v>646</v>
      </c>
      <c r="B47" s="10" t="s">
        <v>728</v>
      </c>
      <c r="C47" s="10" t="s">
        <v>647</v>
      </c>
      <c r="D47" s="10" t="s">
        <v>399</v>
      </c>
      <c r="E47" s="4" t="s">
        <v>645</v>
      </c>
      <c r="F47" s="10" t="s">
        <v>477</v>
      </c>
      <c r="G47" s="10" t="s">
        <v>478</v>
      </c>
      <c r="H47" s="10" t="s">
        <v>444</v>
      </c>
      <c r="I47" s="28" t="s">
        <v>480</v>
      </c>
      <c r="J47" s="10" t="s">
        <v>691</v>
      </c>
      <c r="K47" s="4" t="s">
        <v>730</v>
      </c>
    </row>
    <row r="48" customFormat="false" ht="15" hidden="false" customHeight="false" outlineLevel="0" collapsed="false">
      <c r="A48" s="29" t="s">
        <v>653</v>
      </c>
      <c r="B48" s="13" t="s">
        <v>728</v>
      </c>
      <c r="C48" s="13" t="s">
        <v>647</v>
      </c>
      <c r="D48" s="13" t="s">
        <v>713</v>
      </c>
      <c r="E48" s="29" t="s">
        <v>652</v>
      </c>
      <c r="F48" s="13" t="s">
        <v>477</v>
      </c>
      <c r="G48" s="13" t="s">
        <v>513</v>
      </c>
      <c r="H48" s="13" t="s">
        <v>447</v>
      </c>
      <c r="I48" s="13" t="s">
        <v>560</v>
      </c>
      <c r="J48" s="13" t="s">
        <v>704</v>
      </c>
      <c r="K48" s="29"/>
    </row>
    <row r="49" customFormat="false" ht="23.85" hidden="false" customHeight="false" outlineLevel="0" collapsed="false">
      <c r="A49" s="29" t="s">
        <v>731</v>
      </c>
      <c r="B49" s="13" t="s">
        <v>728</v>
      </c>
      <c r="C49" s="13" t="s">
        <v>647</v>
      </c>
      <c r="D49" s="13" t="s">
        <v>732</v>
      </c>
      <c r="E49" s="29" t="s">
        <v>685</v>
      </c>
      <c r="F49" s="13" t="s">
        <v>685</v>
      </c>
      <c r="G49" s="13" t="s">
        <v>685</v>
      </c>
      <c r="H49" s="13" t="s">
        <v>685</v>
      </c>
      <c r="I49" s="13" t="s">
        <v>685</v>
      </c>
      <c r="J49" s="13" t="s">
        <v>733</v>
      </c>
      <c r="K49" s="29" t="s">
        <v>734</v>
      </c>
    </row>
    <row r="50" customFormat="false" ht="15" hidden="false" customHeight="false" outlineLevel="0" collapsed="false">
      <c r="A50" s="4" t="s">
        <v>735</v>
      </c>
      <c r="B50" s="10" t="s">
        <v>316</v>
      </c>
      <c r="C50" s="10" t="s">
        <v>587</v>
      </c>
      <c r="D50" s="12" t="s">
        <v>338</v>
      </c>
      <c r="E50" s="4" t="s">
        <v>685</v>
      </c>
      <c r="F50" s="10" t="s">
        <v>685</v>
      </c>
      <c r="G50" s="10" t="s">
        <v>656</v>
      </c>
      <c r="H50" s="10" t="s">
        <v>685</v>
      </c>
      <c r="I50" s="10" t="s">
        <v>686</v>
      </c>
      <c r="J50" s="10" t="s">
        <v>691</v>
      </c>
      <c r="K50" s="4" t="s">
        <v>736</v>
      </c>
    </row>
    <row r="51" customFormat="false" ht="23.85" hidden="false" customHeight="false" outlineLevel="0" collapsed="false">
      <c r="A51" s="29" t="s">
        <v>737</v>
      </c>
      <c r="B51" s="13" t="s">
        <v>735</v>
      </c>
      <c r="C51" s="13" t="s">
        <v>309</v>
      </c>
      <c r="D51" s="13" t="s">
        <v>338</v>
      </c>
      <c r="E51" s="29" t="s">
        <v>685</v>
      </c>
      <c r="F51" s="13" t="s">
        <v>685</v>
      </c>
      <c r="G51" s="13" t="s">
        <v>656</v>
      </c>
      <c r="H51" s="13" t="s">
        <v>685</v>
      </c>
      <c r="I51" s="13" t="s">
        <v>480</v>
      </c>
      <c r="J51" s="13" t="s">
        <v>704</v>
      </c>
      <c r="K51" s="29" t="s">
        <v>738</v>
      </c>
    </row>
    <row r="52" customFormat="false" ht="15" hidden="false" customHeight="false" outlineLevel="0" collapsed="false">
      <c r="A52" s="4" t="s">
        <v>739</v>
      </c>
      <c r="B52" s="10" t="s">
        <v>316</v>
      </c>
      <c r="C52" s="10" t="s">
        <v>587</v>
      </c>
      <c r="D52" s="12" t="s">
        <v>338</v>
      </c>
      <c r="E52" s="4" t="s">
        <v>685</v>
      </c>
      <c r="F52" s="10" t="s">
        <v>685</v>
      </c>
      <c r="G52" s="10" t="s">
        <v>656</v>
      </c>
      <c r="H52" s="10" t="s">
        <v>685</v>
      </c>
      <c r="I52" s="10" t="s">
        <v>686</v>
      </c>
      <c r="J52" s="10" t="s">
        <v>691</v>
      </c>
      <c r="K52" s="4" t="s">
        <v>740</v>
      </c>
    </row>
    <row r="53" customFormat="false" ht="15" hidden="false" customHeight="false" outlineLevel="0" collapsed="false">
      <c r="A53" s="4" t="s">
        <v>741</v>
      </c>
      <c r="B53" s="10" t="s">
        <v>739</v>
      </c>
      <c r="C53" s="10" t="s">
        <v>497</v>
      </c>
      <c r="D53" s="10" t="s">
        <v>343</v>
      </c>
      <c r="E53" s="4" t="s">
        <v>742</v>
      </c>
      <c r="F53" s="10" t="s">
        <v>495</v>
      </c>
      <c r="G53" s="10" t="s">
        <v>743</v>
      </c>
      <c r="H53" s="10" t="s">
        <v>441</v>
      </c>
      <c r="I53" s="10" t="s">
        <v>686</v>
      </c>
      <c r="J53" s="10" t="s">
        <v>691</v>
      </c>
      <c r="K53" s="4" t="s">
        <v>744</v>
      </c>
    </row>
    <row r="54" customFormat="false" ht="15" hidden="false" customHeight="false" outlineLevel="0" collapsed="false">
      <c r="A54" s="4" t="s">
        <v>660</v>
      </c>
      <c r="B54" s="10" t="s">
        <v>316</v>
      </c>
      <c r="C54" s="10" t="s">
        <v>661</v>
      </c>
      <c r="D54" s="12" t="s">
        <v>338</v>
      </c>
      <c r="E54" s="4" t="s">
        <v>654</v>
      </c>
      <c r="F54" s="10" t="s">
        <v>655</v>
      </c>
      <c r="G54" s="10" t="s">
        <v>656</v>
      </c>
      <c r="H54" s="10" t="s">
        <v>441</v>
      </c>
      <c r="I54" s="10" t="s">
        <v>686</v>
      </c>
      <c r="J54" s="10" t="s">
        <v>691</v>
      </c>
      <c r="K54" s="4" t="s">
        <v>745</v>
      </c>
    </row>
    <row r="55" customFormat="false" ht="15" hidden="false" customHeight="false" outlineLevel="0" collapsed="false">
      <c r="A55" s="4" t="s">
        <v>746</v>
      </c>
      <c r="B55" s="10" t="s">
        <v>660</v>
      </c>
      <c r="C55" s="10" t="s">
        <v>66</v>
      </c>
      <c r="D55" s="10" t="s">
        <v>343</v>
      </c>
      <c r="E55" s="4" t="s">
        <v>685</v>
      </c>
      <c r="F55" s="10" t="s">
        <v>685</v>
      </c>
      <c r="G55" s="10" t="s">
        <v>656</v>
      </c>
      <c r="H55" s="10" t="s">
        <v>685</v>
      </c>
      <c r="I55" s="10" t="s">
        <v>686</v>
      </c>
      <c r="J55" s="10" t="s">
        <v>691</v>
      </c>
      <c r="K55" s="4" t="s">
        <v>747</v>
      </c>
    </row>
    <row r="56" customFormat="false" ht="23.85" hidden="false" customHeight="false" outlineLevel="0" collapsed="false">
      <c r="A56" s="4" t="s">
        <v>748</v>
      </c>
      <c r="B56" s="10" t="s">
        <v>660</v>
      </c>
      <c r="C56" s="10" t="s">
        <v>66</v>
      </c>
      <c r="D56" s="10" t="s">
        <v>343</v>
      </c>
      <c r="E56" s="4" t="s">
        <v>685</v>
      </c>
      <c r="F56" s="10" t="s">
        <v>685</v>
      </c>
      <c r="G56" s="10" t="s">
        <v>656</v>
      </c>
      <c r="H56" s="10" t="s">
        <v>685</v>
      </c>
      <c r="I56" s="28" t="s">
        <v>480</v>
      </c>
      <c r="J56" s="10" t="s">
        <v>691</v>
      </c>
      <c r="K56" s="4" t="s">
        <v>749</v>
      </c>
    </row>
    <row r="57" customFormat="false" ht="15" hidden="false" customHeight="false" outlineLevel="0" collapsed="false">
      <c r="A57" s="4" t="s">
        <v>750</v>
      </c>
      <c r="B57" s="10" t="s">
        <v>660</v>
      </c>
      <c r="C57" s="10" t="s">
        <v>66</v>
      </c>
      <c r="D57" s="10" t="s">
        <v>343</v>
      </c>
      <c r="E57" s="4" t="s">
        <v>685</v>
      </c>
      <c r="F57" s="10" t="s">
        <v>685</v>
      </c>
      <c r="G57" s="10" t="s">
        <v>656</v>
      </c>
      <c r="H57" s="10" t="s">
        <v>685</v>
      </c>
      <c r="I57" s="28" t="s">
        <v>480</v>
      </c>
      <c r="J57" s="10" t="s">
        <v>691</v>
      </c>
      <c r="K57" s="4" t="s">
        <v>751</v>
      </c>
    </row>
    <row r="58" customFormat="false" ht="15" hidden="false" customHeight="false" outlineLevel="0" collapsed="false">
      <c r="A58" s="4" t="s">
        <v>752</v>
      </c>
      <c r="B58" s="10" t="s">
        <v>316</v>
      </c>
      <c r="C58" s="10" t="s">
        <v>753</v>
      </c>
      <c r="D58" s="12" t="s">
        <v>338</v>
      </c>
      <c r="E58" s="4" t="s">
        <v>685</v>
      </c>
      <c r="F58" s="10" t="s">
        <v>685</v>
      </c>
      <c r="G58" s="10" t="s">
        <v>656</v>
      </c>
      <c r="H58" s="10" t="s">
        <v>685</v>
      </c>
      <c r="I58" s="10" t="s">
        <v>686</v>
      </c>
      <c r="J58" s="10" t="s">
        <v>691</v>
      </c>
      <c r="K58" s="4"/>
    </row>
    <row r="59" customFormat="false" ht="23.85" hidden="false" customHeight="false" outlineLevel="0" collapsed="false">
      <c r="A59" s="4" t="s">
        <v>754</v>
      </c>
      <c r="B59" s="10" t="s">
        <v>752</v>
      </c>
      <c r="C59" s="10" t="s">
        <v>755</v>
      </c>
      <c r="D59" s="10" t="s">
        <v>343</v>
      </c>
      <c r="E59" s="4" t="s">
        <v>685</v>
      </c>
      <c r="F59" s="10" t="s">
        <v>685</v>
      </c>
      <c r="G59" s="10" t="s">
        <v>656</v>
      </c>
      <c r="H59" s="10" t="s">
        <v>685</v>
      </c>
      <c r="I59" s="28" t="s">
        <v>480</v>
      </c>
      <c r="J59" s="10" t="s">
        <v>691</v>
      </c>
      <c r="K59" s="4" t="s">
        <v>756</v>
      </c>
    </row>
    <row r="60" customFormat="false" ht="15" hidden="false" customHeight="false" outlineLevel="0" collapsed="false">
      <c r="A60" s="4" t="s">
        <v>757</v>
      </c>
      <c r="B60" s="10" t="s">
        <v>316</v>
      </c>
      <c r="C60" s="10" t="s">
        <v>758</v>
      </c>
      <c r="D60" s="10" t="s">
        <v>399</v>
      </c>
      <c r="E60" s="4" t="s">
        <v>685</v>
      </c>
      <c r="F60" s="10" t="s">
        <v>685</v>
      </c>
      <c r="G60" s="10" t="s">
        <v>759</v>
      </c>
      <c r="H60" s="10" t="s">
        <v>685</v>
      </c>
      <c r="I60" s="10" t="s">
        <v>686</v>
      </c>
      <c r="J60" s="10" t="s">
        <v>760</v>
      </c>
      <c r="K60" s="4"/>
    </row>
    <row r="61" customFormat="false" ht="15" hidden="false" customHeight="false" outlineLevel="0" collapsed="false">
      <c r="A61" s="4" t="s">
        <v>761</v>
      </c>
      <c r="B61" s="10" t="s">
        <v>316</v>
      </c>
      <c r="C61" s="10" t="s">
        <v>380</v>
      </c>
      <c r="D61" s="12" t="s">
        <v>338</v>
      </c>
      <c r="E61" s="4" t="s">
        <v>685</v>
      </c>
      <c r="F61" s="10" t="s">
        <v>685</v>
      </c>
      <c r="G61" s="10" t="s">
        <v>656</v>
      </c>
      <c r="H61" s="10" t="s">
        <v>685</v>
      </c>
      <c r="I61" s="10" t="s">
        <v>686</v>
      </c>
      <c r="J61" s="10" t="s">
        <v>691</v>
      </c>
      <c r="K61" s="4"/>
    </row>
    <row r="62" customFormat="false" ht="15" hidden="false" customHeight="false" outlineLevel="0" collapsed="false">
      <c r="A62" s="4" t="s">
        <v>322</v>
      </c>
      <c r="B62" s="10" t="s">
        <v>316</v>
      </c>
      <c r="C62" s="10" t="s">
        <v>380</v>
      </c>
      <c r="D62" s="12" t="s">
        <v>338</v>
      </c>
      <c r="E62" s="4" t="s">
        <v>685</v>
      </c>
      <c r="F62" s="10" t="s">
        <v>685</v>
      </c>
      <c r="G62" s="10" t="s">
        <v>656</v>
      </c>
      <c r="H62" s="10" t="s">
        <v>685</v>
      </c>
      <c r="I62" s="10" t="s">
        <v>686</v>
      </c>
      <c r="J62" s="10" t="s">
        <v>691</v>
      </c>
      <c r="K62" s="4" t="s">
        <v>762</v>
      </c>
    </row>
    <row r="63" customFormat="false" ht="15" hidden="false" customHeight="false" outlineLevel="0" collapsed="false">
      <c r="A63" s="4" t="s">
        <v>763</v>
      </c>
      <c r="B63" s="10" t="s">
        <v>322</v>
      </c>
      <c r="C63" s="10" t="s">
        <v>380</v>
      </c>
      <c r="D63" s="12" t="s">
        <v>338</v>
      </c>
      <c r="E63" s="4" t="s">
        <v>685</v>
      </c>
      <c r="F63" s="10" t="s">
        <v>685</v>
      </c>
      <c r="G63" s="10" t="s">
        <v>656</v>
      </c>
      <c r="H63" s="10" t="s">
        <v>685</v>
      </c>
      <c r="I63" s="10" t="s">
        <v>686</v>
      </c>
      <c r="J63" s="10" t="s">
        <v>691</v>
      </c>
      <c r="K63" s="4" t="s">
        <v>764</v>
      </c>
    </row>
    <row r="64" customFormat="false" ht="15" hidden="false" customHeight="false" outlineLevel="0" collapsed="false">
      <c r="A64" s="4" t="s">
        <v>765</v>
      </c>
      <c r="B64" s="10" t="s">
        <v>316</v>
      </c>
      <c r="C64" s="10" t="s">
        <v>380</v>
      </c>
      <c r="D64" s="10" t="s">
        <v>343</v>
      </c>
      <c r="E64" s="4" t="s">
        <v>685</v>
      </c>
      <c r="F64" s="10" t="s">
        <v>685</v>
      </c>
      <c r="G64" s="10" t="s">
        <v>656</v>
      </c>
      <c r="H64" s="10" t="s">
        <v>685</v>
      </c>
      <c r="I64" s="10" t="s">
        <v>686</v>
      </c>
      <c r="J64" s="10" t="s">
        <v>691</v>
      </c>
      <c r="K64" s="4" t="s">
        <v>766</v>
      </c>
    </row>
    <row r="65" customFormat="false" ht="15" hidden="false" customHeight="false" outlineLevel="0" collapsed="false">
      <c r="A65" s="4" t="s">
        <v>767</v>
      </c>
      <c r="B65" s="10" t="s">
        <v>316</v>
      </c>
      <c r="C65" s="10" t="s">
        <v>768</v>
      </c>
      <c r="D65" s="12" t="s">
        <v>338</v>
      </c>
      <c r="E65" s="4" t="s">
        <v>685</v>
      </c>
      <c r="F65" s="10" t="s">
        <v>685</v>
      </c>
      <c r="G65" s="10" t="s">
        <v>656</v>
      </c>
      <c r="H65" s="10" t="s">
        <v>685</v>
      </c>
      <c r="I65" s="10" t="s">
        <v>686</v>
      </c>
      <c r="J65" s="10" t="s">
        <v>691</v>
      </c>
      <c r="K65" s="4" t="s">
        <v>769</v>
      </c>
    </row>
    <row r="66" customFormat="false" ht="23.85" hidden="false" customHeight="false" outlineLevel="0" collapsed="false">
      <c r="A66" s="29" t="s">
        <v>770</v>
      </c>
      <c r="B66" s="13" t="s">
        <v>316</v>
      </c>
      <c r="C66" s="13" t="s">
        <v>771</v>
      </c>
      <c r="D66" s="13" t="s">
        <v>713</v>
      </c>
      <c r="E66" s="29" t="s">
        <v>685</v>
      </c>
      <c r="F66" s="13" t="s">
        <v>685</v>
      </c>
      <c r="G66" s="13" t="s">
        <v>772</v>
      </c>
      <c r="H66" s="13" t="s">
        <v>685</v>
      </c>
      <c r="I66" s="13" t="s">
        <v>685</v>
      </c>
      <c r="J66" s="13" t="s">
        <v>773</v>
      </c>
      <c r="K66" s="29" t="s">
        <v>774</v>
      </c>
    </row>
    <row r="69" customFormat="false" ht="15" hidden="false" customHeight="false" outlineLevel="0" collapsed="false">
      <c r="A69" s="6" t="s">
        <v>775</v>
      </c>
    </row>
    <row r="70" customFormat="false" ht="15" hidden="false" customHeight="false" outlineLevel="0" collapsed="false">
      <c r="A70" s="8" t="s">
        <v>776</v>
      </c>
      <c r="B70" s="6" t="n">
        <f aca="false">COUNTIF(D4:D66,"P0")</f>
        <v>16</v>
      </c>
    </row>
    <row r="71" customFormat="false" ht="15" hidden="false" customHeight="false" outlineLevel="0" collapsed="false">
      <c r="A71" s="8" t="s">
        <v>777</v>
      </c>
      <c r="B71" s="6" t="n">
        <f aca="false">COUNTIF(D4:D66,"P1")</f>
        <v>20</v>
      </c>
    </row>
    <row r="72" customFormat="false" ht="15" hidden="false" customHeight="false" outlineLevel="0" collapsed="false">
      <c r="A72" s="8" t="s">
        <v>778</v>
      </c>
      <c r="B72" s="6" t="n">
        <f aca="false">COUNTIF(D4:D66,"P2")</f>
        <v>22</v>
      </c>
    </row>
    <row r="73" customFormat="false" ht="15" hidden="false" customHeight="false" outlineLevel="0" collapsed="false">
      <c r="A73" s="8" t="s">
        <v>779</v>
      </c>
      <c r="B73" s="6" t="n">
        <f aca="false">COUNTIF(D4:D66,"P3")</f>
        <v>4</v>
      </c>
    </row>
    <row r="74" customFormat="false" ht="15" hidden="false" customHeight="false" outlineLevel="0" collapsed="false">
      <c r="A74" s="8" t="s">
        <v>780</v>
      </c>
      <c r="B74" s="6" t="n">
        <f aca="false">COUNTIF(I4:I66,"GATED")</f>
        <v>8</v>
      </c>
    </row>
    <row r="75" customFormat="false" ht="15" hidden="false" customHeight="false" outlineLevel="0" collapsed="false">
      <c r="A75" s="8" t="s">
        <v>781</v>
      </c>
      <c r="B75" s="6" t="n">
        <f aca="false">COUNTIF(I4:I66,"DATA REQUIRED")</f>
        <v>24</v>
      </c>
    </row>
  </sheetData>
  <autoFilter ref="A3:K6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52"/>
    <col collapsed="false" customWidth="true" hidden="false" outlineLevel="0" max="3" min="3" style="0" width="76"/>
    <col collapsed="false" customWidth="true" hidden="false" outlineLevel="0" max="4" min="4" style="0" width="52"/>
    <col collapsed="false" customWidth="true" hidden="false" outlineLevel="0" max="5" min="5" style="0" width="30"/>
    <col collapsed="false" customWidth="true" hidden="false" outlineLevel="0" max="6" min="6" style="0" width="46"/>
    <col collapsed="false" customWidth="true" hidden="false" outlineLevel="0" max="7" min="7" style="0" width="34"/>
    <col collapsed="false" customWidth="true" hidden="false" outlineLevel="0" max="8" min="8" style="0" width="26"/>
  </cols>
  <sheetData>
    <row r="1" customFormat="false" ht="17.35" hidden="false" customHeight="false" outlineLevel="0" collapsed="false">
      <c r="A1" s="1" t="s">
        <v>782</v>
      </c>
    </row>
    <row r="2" customFormat="false" ht="15" hidden="false" customHeight="false" outlineLevel="0" collapsed="false">
      <c r="A2" s="2" t="s">
        <v>783</v>
      </c>
    </row>
    <row r="3" customFormat="false" ht="30" hidden="false" customHeight="true" outlineLevel="0" collapsed="false">
      <c r="A3" s="3" t="s">
        <v>680</v>
      </c>
      <c r="B3" s="3" t="s">
        <v>135</v>
      </c>
      <c r="C3" s="3" t="s">
        <v>784</v>
      </c>
      <c r="D3" s="3" t="s">
        <v>785</v>
      </c>
      <c r="E3" s="3" t="s">
        <v>682</v>
      </c>
      <c r="F3" s="3" t="s">
        <v>786</v>
      </c>
      <c r="G3" s="3" t="s">
        <v>173</v>
      </c>
      <c r="H3" s="3" t="s">
        <v>787</v>
      </c>
    </row>
    <row r="4" customFormat="false" ht="23.85" hidden="false" customHeight="false" outlineLevel="0" collapsed="false">
      <c r="A4" s="10" t="s">
        <v>316</v>
      </c>
      <c r="B4" s="4" t="s">
        <v>788</v>
      </c>
      <c r="C4" s="4" t="s">
        <v>789</v>
      </c>
      <c r="D4" s="4" t="s">
        <v>790</v>
      </c>
      <c r="E4" s="10" t="s">
        <v>654</v>
      </c>
      <c r="F4" s="4" t="s">
        <v>791</v>
      </c>
      <c r="G4" s="4" t="s">
        <v>792</v>
      </c>
      <c r="H4" s="10" t="s">
        <v>793</v>
      </c>
    </row>
    <row r="5" customFormat="false" ht="23.85" hidden="false" customHeight="false" outlineLevel="0" collapsed="false">
      <c r="A5" s="10" t="s">
        <v>689</v>
      </c>
      <c r="B5" s="4" t="s">
        <v>794</v>
      </c>
      <c r="C5" s="4" t="s">
        <v>795</v>
      </c>
      <c r="D5" s="4" t="s">
        <v>796</v>
      </c>
      <c r="E5" s="10" t="s">
        <v>690</v>
      </c>
      <c r="F5" s="4" t="s">
        <v>797</v>
      </c>
      <c r="G5" s="4" t="s">
        <v>798</v>
      </c>
      <c r="H5" s="10" t="s">
        <v>799</v>
      </c>
    </row>
    <row r="6" customFormat="false" ht="23.85" hidden="false" customHeight="false" outlineLevel="0" collapsed="false">
      <c r="A6" s="10" t="s">
        <v>479</v>
      </c>
      <c r="B6" s="4" t="s">
        <v>800</v>
      </c>
      <c r="C6" s="4" t="s">
        <v>801</v>
      </c>
      <c r="D6" s="4" t="s">
        <v>802</v>
      </c>
      <c r="E6" s="10" t="s">
        <v>476</v>
      </c>
      <c r="F6" s="4" t="s">
        <v>803</v>
      </c>
      <c r="G6" s="4" t="s">
        <v>804</v>
      </c>
      <c r="H6" s="10" t="s">
        <v>805</v>
      </c>
    </row>
    <row r="7" customFormat="false" ht="23.85" hidden="false" customHeight="false" outlineLevel="0" collapsed="false">
      <c r="A7" s="10" t="s">
        <v>489</v>
      </c>
      <c r="B7" s="4" t="s">
        <v>806</v>
      </c>
      <c r="C7" s="4" t="s">
        <v>807</v>
      </c>
      <c r="D7" s="4" t="s">
        <v>808</v>
      </c>
      <c r="E7" s="10" t="s">
        <v>488</v>
      </c>
      <c r="F7" s="4" t="s">
        <v>809</v>
      </c>
      <c r="G7" s="4" t="s">
        <v>804</v>
      </c>
      <c r="H7" s="10" t="s">
        <v>810</v>
      </c>
    </row>
    <row r="8" customFormat="false" ht="23.85" hidden="false" customHeight="false" outlineLevel="0" collapsed="false">
      <c r="A8" s="10" t="s">
        <v>517</v>
      </c>
      <c r="B8" s="4" t="s">
        <v>811</v>
      </c>
      <c r="C8" s="4" t="s">
        <v>812</v>
      </c>
      <c r="D8" s="4" t="s">
        <v>813</v>
      </c>
      <c r="E8" s="10" t="s">
        <v>516</v>
      </c>
      <c r="F8" s="4" t="s">
        <v>814</v>
      </c>
      <c r="G8" s="4" t="s">
        <v>804</v>
      </c>
      <c r="H8" s="10" t="s">
        <v>815</v>
      </c>
    </row>
    <row r="9" customFormat="false" ht="23.85" hidden="false" customHeight="false" outlineLevel="0" collapsed="false">
      <c r="A9" s="10" t="s">
        <v>503</v>
      </c>
      <c r="B9" s="4" t="s">
        <v>816</v>
      </c>
      <c r="C9" s="4" t="s">
        <v>817</v>
      </c>
      <c r="D9" s="4" t="s">
        <v>818</v>
      </c>
      <c r="E9" s="10" t="s">
        <v>502</v>
      </c>
      <c r="F9" s="4" t="s">
        <v>819</v>
      </c>
      <c r="G9" s="4" t="s">
        <v>804</v>
      </c>
      <c r="H9" s="10" t="s">
        <v>820</v>
      </c>
    </row>
    <row r="10" customFormat="false" ht="23.85" hidden="false" customHeight="false" outlineLevel="0" collapsed="false">
      <c r="A10" s="10" t="s">
        <v>526</v>
      </c>
      <c r="B10" s="4" t="s">
        <v>821</v>
      </c>
      <c r="C10" s="4" t="s">
        <v>822</v>
      </c>
      <c r="D10" s="4" t="s">
        <v>823</v>
      </c>
      <c r="E10" s="10" t="s">
        <v>525</v>
      </c>
      <c r="F10" s="4" t="s">
        <v>824</v>
      </c>
      <c r="G10" s="4" t="s">
        <v>804</v>
      </c>
      <c r="H10" s="10" t="s">
        <v>825</v>
      </c>
    </row>
    <row r="11" customFormat="false" ht="23.85" hidden="false" customHeight="false" outlineLevel="0" collapsed="false">
      <c r="A11" s="10" t="s">
        <v>532</v>
      </c>
      <c r="B11" s="4" t="s">
        <v>826</v>
      </c>
      <c r="C11" s="4" t="s">
        <v>827</v>
      </c>
      <c r="D11" s="4" t="s">
        <v>828</v>
      </c>
      <c r="E11" s="10" t="s">
        <v>698</v>
      </c>
      <c r="F11" s="4" t="s">
        <v>829</v>
      </c>
      <c r="G11" s="4" t="s">
        <v>804</v>
      </c>
      <c r="H11" s="10" t="s">
        <v>830</v>
      </c>
    </row>
    <row r="12" customFormat="false" ht="23.85" hidden="false" customHeight="false" outlineLevel="0" collapsed="false">
      <c r="A12" s="10" t="s">
        <v>603</v>
      </c>
      <c r="B12" s="4" t="s">
        <v>831</v>
      </c>
      <c r="C12" s="4" t="s">
        <v>832</v>
      </c>
      <c r="D12" s="4" t="s">
        <v>833</v>
      </c>
      <c r="E12" s="10" t="s">
        <v>607</v>
      </c>
      <c r="F12" s="4" t="s">
        <v>834</v>
      </c>
      <c r="G12" s="4" t="s">
        <v>804</v>
      </c>
      <c r="H12" s="10" t="s">
        <v>835</v>
      </c>
    </row>
    <row r="13" customFormat="false" ht="23.85" hidden="false" customHeight="false" outlineLevel="0" collapsed="false">
      <c r="A13" s="10" t="s">
        <v>586</v>
      </c>
      <c r="B13" s="4" t="s">
        <v>836</v>
      </c>
      <c r="C13" s="4" t="s">
        <v>837</v>
      </c>
      <c r="D13" s="4" t="s">
        <v>838</v>
      </c>
      <c r="E13" s="10" t="s">
        <v>585</v>
      </c>
      <c r="F13" s="4" t="s">
        <v>839</v>
      </c>
      <c r="G13" s="4" t="s">
        <v>840</v>
      </c>
      <c r="H13" s="10" t="s">
        <v>841</v>
      </c>
    </row>
    <row r="14" customFormat="false" ht="23.85" hidden="false" customHeight="false" outlineLevel="0" collapsed="false">
      <c r="A14" s="10" t="s">
        <v>660</v>
      </c>
      <c r="B14" s="4" t="s">
        <v>842</v>
      </c>
      <c r="C14" s="4" t="s">
        <v>843</v>
      </c>
      <c r="D14" s="4" t="s">
        <v>844</v>
      </c>
      <c r="E14" s="10" t="s">
        <v>654</v>
      </c>
      <c r="F14" s="4" t="s">
        <v>845</v>
      </c>
      <c r="G14" s="4" t="s">
        <v>846</v>
      </c>
      <c r="H14" s="10" t="s">
        <v>847</v>
      </c>
    </row>
    <row r="15" customFormat="false" ht="23.85" hidden="false" customHeight="false" outlineLevel="0" collapsed="false">
      <c r="A15" s="10" t="s">
        <v>750</v>
      </c>
      <c r="B15" s="4" t="s">
        <v>848</v>
      </c>
      <c r="C15" s="4" t="s">
        <v>849</v>
      </c>
      <c r="D15" s="4" t="s">
        <v>850</v>
      </c>
      <c r="E15" s="10" t="s">
        <v>685</v>
      </c>
      <c r="F15" s="4" t="s">
        <v>851</v>
      </c>
      <c r="G15" s="4" t="s">
        <v>852</v>
      </c>
      <c r="H15" s="10" t="s">
        <v>853</v>
      </c>
    </row>
    <row r="16" customFormat="false" ht="23.85" hidden="false" customHeight="false" outlineLevel="0" collapsed="false">
      <c r="A16" s="10" t="s">
        <v>748</v>
      </c>
      <c r="B16" s="4" t="s">
        <v>854</v>
      </c>
      <c r="C16" s="4" t="s">
        <v>855</v>
      </c>
      <c r="D16" s="4" t="s">
        <v>856</v>
      </c>
      <c r="E16" s="10" t="s">
        <v>685</v>
      </c>
      <c r="F16" s="4" t="s">
        <v>857</v>
      </c>
      <c r="G16" s="4" t="s">
        <v>858</v>
      </c>
      <c r="H16" s="10" t="s">
        <v>859</v>
      </c>
    </row>
    <row r="17" customFormat="false" ht="23.85" hidden="false" customHeight="false" outlineLevel="0" collapsed="false">
      <c r="A17" s="10" t="s">
        <v>735</v>
      </c>
      <c r="B17" s="4" t="s">
        <v>860</v>
      </c>
      <c r="C17" s="4" t="s">
        <v>861</v>
      </c>
      <c r="D17" s="4" t="s">
        <v>862</v>
      </c>
      <c r="E17" s="10" t="s">
        <v>685</v>
      </c>
      <c r="F17" s="4" t="s">
        <v>863</v>
      </c>
      <c r="G17" s="4" t="s">
        <v>864</v>
      </c>
      <c r="H17" s="10" t="s">
        <v>865</v>
      </c>
    </row>
    <row r="18" customFormat="false" ht="23.85" hidden="false" customHeight="false" outlineLevel="0" collapsed="false">
      <c r="A18" s="10" t="s">
        <v>322</v>
      </c>
      <c r="B18" s="4" t="s">
        <v>866</v>
      </c>
      <c r="C18" s="4" t="s">
        <v>867</v>
      </c>
      <c r="D18" s="4" t="s">
        <v>868</v>
      </c>
      <c r="E18" s="10" t="s">
        <v>685</v>
      </c>
      <c r="F18" s="4" t="s">
        <v>685</v>
      </c>
      <c r="G18" s="4" t="s">
        <v>858</v>
      </c>
      <c r="H18" s="10" t="s">
        <v>869</v>
      </c>
    </row>
  </sheetData>
  <autoFilter ref="A3:H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B1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32"/>
  </cols>
  <sheetData>
    <row r="1" customFormat="false" ht="17.35" hidden="false" customHeight="false" outlineLevel="0" collapsed="false">
      <c r="A1" s="1" t="s">
        <v>870</v>
      </c>
    </row>
    <row r="2" customFormat="false" ht="15" hidden="false" customHeight="false" outlineLevel="0" collapsed="false">
      <c r="A2" s="2" t="s">
        <v>871</v>
      </c>
    </row>
    <row r="4" customFormat="false" ht="15" hidden="false" customHeight="false" outlineLevel="0" collapsed="false">
      <c r="A4" s="30" t="s">
        <v>872</v>
      </c>
      <c r="B4" s="30"/>
    </row>
    <row r="5" customFormat="false" ht="15" hidden="false" customHeight="false" outlineLevel="0" collapsed="false">
      <c r="A5" s="31" t="s">
        <v>680</v>
      </c>
      <c r="B5" s="4" t="s">
        <v>503</v>
      </c>
    </row>
    <row r="6" customFormat="false" ht="15" hidden="false" customHeight="false" outlineLevel="0" collapsed="false">
      <c r="A6" s="31" t="s">
        <v>333</v>
      </c>
      <c r="B6" s="4" t="s">
        <v>338</v>
      </c>
    </row>
    <row r="7" customFormat="false" ht="15" hidden="false" customHeight="false" outlineLevel="0" collapsed="false">
      <c r="A7" s="31" t="s">
        <v>682</v>
      </c>
      <c r="B7" s="4" t="s">
        <v>502</v>
      </c>
    </row>
    <row r="8" customFormat="false" ht="15" hidden="false" customHeight="false" outlineLevel="0" collapsed="false">
      <c r="A8" s="31" t="s">
        <v>786</v>
      </c>
      <c r="B8" s="4" t="s">
        <v>873</v>
      </c>
    </row>
    <row r="9" customFormat="false" ht="15" hidden="false" customHeight="false" outlineLevel="0" collapsed="false">
      <c r="A9" s="31" t="s">
        <v>874</v>
      </c>
      <c r="B9" s="4" t="s">
        <v>875</v>
      </c>
    </row>
    <row r="10" customFormat="false" ht="15" hidden="false" customHeight="false" outlineLevel="0" collapsed="false">
      <c r="A10" s="31" t="s">
        <v>876</v>
      </c>
      <c r="B10" s="4" t="s">
        <v>877</v>
      </c>
    </row>
    <row r="11" customFormat="false" ht="15" hidden="false" customHeight="false" outlineLevel="0" collapsed="false">
      <c r="A11" s="31" t="s">
        <v>878</v>
      </c>
      <c r="B11" s="4" t="s">
        <v>879</v>
      </c>
    </row>
    <row r="12" customFormat="false" ht="15" hidden="false" customHeight="false" outlineLevel="0" collapsed="false">
      <c r="A12" s="31" t="s">
        <v>880</v>
      </c>
      <c r="B12" s="4" t="s">
        <v>881</v>
      </c>
    </row>
    <row r="13" customFormat="false" ht="15" hidden="false" customHeight="false" outlineLevel="0" collapsed="false">
      <c r="A13" s="31" t="s">
        <v>469</v>
      </c>
      <c r="B13" s="4" t="s">
        <v>444</v>
      </c>
    </row>
    <row r="14" customFormat="false" ht="15" hidden="false" customHeight="false" outlineLevel="0" collapsed="false">
      <c r="A14" s="31" t="s">
        <v>882</v>
      </c>
      <c r="B14" s="4" t="s">
        <v>883</v>
      </c>
    </row>
    <row r="15" customFormat="false" ht="35.05" hidden="false" customHeight="false" outlineLevel="0" collapsed="false">
      <c r="A15" s="31" t="s">
        <v>884</v>
      </c>
      <c r="B15" s="4" t="s">
        <v>885</v>
      </c>
    </row>
    <row r="16" customFormat="false" ht="23.85" hidden="false" customHeight="false" outlineLevel="0" collapsed="false">
      <c r="A16" s="31" t="s">
        <v>886</v>
      </c>
      <c r="B16" s="4" t="s">
        <v>887</v>
      </c>
    </row>
    <row r="17" customFormat="false" ht="23.85" hidden="false" customHeight="false" outlineLevel="0" collapsed="false">
      <c r="A17" s="31" t="s">
        <v>888</v>
      </c>
      <c r="B17" s="4" t="s">
        <v>889</v>
      </c>
    </row>
    <row r="18" customFormat="false" ht="15" hidden="false" customHeight="false" outlineLevel="0" collapsed="false">
      <c r="A18" s="31" t="s">
        <v>890</v>
      </c>
      <c r="B18" s="4" t="s">
        <v>891</v>
      </c>
    </row>
    <row r="19" customFormat="false" ht="15" hidden="false" customHeight="false" outlineLevel="0" collapsed="false">
      <c r="A19" s="31" t="s">
        <v>892</v>
      </c>
      <c r="B19" s="4" t="s">
        <v>893</v>
      </c>
    </row>
    <row r="20" customFormat="false" ht="15" hidden="false" customHeight="false" outlineLevel="0" collapsed="false">
      <c r="A20" s="31" t="s">
        <v>894</v>
      </c>
      <c r="B20" s="4" t="s">
        <v>895</v>
      </c>
    </row>
    <row r="21" customFormat="false" ht="15" hidden="false" customHeight="false" outlineLevel="0" collapsed="false">
      <c r="A21" s="31" t="s">
        <v>173</v>
      </c>
      <c r="B21" s="4" t="s">
        <v>804</v>
      </c>
    </row>
    <row r="22" customFormat="false" ht="15" hidden="false" customHeight="false" outlineLevel="0" collapsed="false">
      <c r="A22" s="31" t="s">
        <v>896</v>
      </c>
      <c r="B22" s="5" t="s">
        <v>897</v>
      </c>
    </row>
    <row r="24" customFormat="false" ht="15" hidden="false" customHeight="false" outlineLevel="0" collapsed="false">
      <c r="A24" s="30" t="s">
        <v>898</v>
      </c>
      <c r="B24" s="30"/>
    </row>
    <row r="25" customFormat="false" ht="15" hidden="false" customHeight="false" outlineLevel="0" collapsed="false">
      <c r="A25" s="31" t="s">
        <v>680</v>
      </c>
      <c r="B25" s="4" t="s">
        <v>479</v>
      </c>
    </row>
    <row r="26" customFormat="false" ht="15" hidden="false" customHeight="false" outlineLevel="0" collapsed="false">
      <c r="A26" s="31" t="s">
        <v>333</v>
      </c>
      <c r="B26" s="4" t="s">
        <v>338</v>
      </c>
    </row>
    <row r="27" customFormat="false" ht="15" hidden="false" customHeight="false" outlineLevel="0" collapsed="false">
      <c r="A27" s="31" t="s">
        <v>682</v>
      </c>
      <c r="B27" s="4" t="s">
        <v>476</v>
      </c>
    </row>
    <row r="28" customFormat="false" ht="15" hidden="false" customHeight="false" outlineLevel="0" collapsed="false">
      <c r="A28" s="31" t="s">
        <v>786</v>
      </c>
      <c r="B28" s="4" t="s">
        <v>899</v>
      </c>
    </row>
    <row r="29" customFormat="false" ht="15" hidden="false" customHeight="false" outlineLevel="0" collapsed="false">
      <c r="A29" s="31" t="s">
        <v>874</v>
      </c>
      <c r="B29" s="4" t="s">
        <v>900</v>
      </c>
    </row>
    <row r="30" customFormat="false" ht="15" hidden="false" customHeight="false" outlineLevel="0" collapsed="false">
      <c r="A30" s="31" t="s">
        <v>876</v>
      </c>
      <c r="B30" s="4" t="s">
        <v>901</v>
      </c>
    </row>
    <row r="31" customFormat="false" ht="15" hidden="false" customHeight="false" outlineLevel="0" collapsed="false">
      <c r="A31" s="31" t="s">
        <v>878</v>
      </c>
      <c r="B31" s="4" t="s">
        <v>902</v>
      </c>
    </row>
    <row r="32" customFormat="false" ht="15" hidden="false" customHeight="false" outlineLevel="0" collapsed="false">
      <c r="A32" s="31" t="s">
        <v>880</v>
      </c>
      <c r="B32" s="4" t="s">
        <v>903</v>
      </c>
    </row>
    <row r="33" customFormat="false" ht="15" hidden="false" customHeight="false" outlineLevel="0" collapsed="false">
      <c r="A33" s="31" t="s">
        <v>469</v>
      </c>
      <c r="B33" s="4" t="s">
        <v>447</v>
      </c>
    </row>
    <row r="34" customFormat="false" ht="15" hidden="false" customHeight="false" outlineLevel="0" collapsed="false">
      <c r="A34" s="31" t="s">
        <v>882</v>
      </c>
      <c r="B34" s="4" t="s">
        <v>904</v>
      </c>
    </row>
    <row r="35" customFormat="false" ht="35.05" hidden="false" customHeight="false" outlineLevel="0" collapsed="false">
      <c r="A35" s="31" t="s">
        <v>884</v>
      </c>
      <c r="B35" s="4" t="s">
        <v>905</v>
      </c>
    </row>
    <row r="36" customFormat="false" ht="23.85" hidden="false" customHeight="false" outlineLevel="0" collapsed="false">
      <c r="A36" s="31" t="s">
        <v>886</v>
      </c>
      <c r="B36" s="4" t="s">
        <v>906</v>
      </c>
    </row>
    <row r="37" customFormat="false" ht="23.85" hidden="false" customHeight="false" outlineLevel="0" collapsed="false">
      <c r="A37" s="31" t="s">
        <v>888</v>
      </c>
      <c r="B37" s="4" t="s">
        <v>907</v>
      </c>
    </row>
    <row r="38" customFormat="false" ht="15" hidden="false" customHeight="false" outlineLevel="0" collapsed="false">
      <c r="A38" s="31" t="s">
        <v>890</v>
      </c>
      <c r="B38" s="4" t="s">
        <v>908</v>
      </c>
    </row>
    <row r="39" customFormat="false" ht="15" hidden="false" customHeight="false" outlineLevel="0" collapsed="false">
      <c r="A39" s="31" t="s">
        <v>892</v>
      </c>
      <c r="B39" s="4" t="s">
        <v>909</v>
      </c>
    </row>
    <row r="40" customFormat="false" ht="15" hidden="false" customHeight="false" outlineLevel="0" collapsed="false">
      <c r="A40" s="31" t="s">
        <v>894</v>
      </c>
      <c r="B40" s="4" t="s">
        <v>910</v>
      </c>
    </row>
    <row r="41" customFormat="false" ht="15" hidden="false" customHeight="false" outlineLevel="0" collapsed="false">
      <c r="A41" s="31" t="s">
        <v>173</v>
      </c>
      <c r="B41" s="4" t="s">
        <v>804</v>
      </c>
    </row>
    <row r="42" customFormat="false" ht="15" hidden="false" customHeight="false" outlineLevel="0" collapsed="false">
      <c r="A42" s="31" t="s">
        <v>896</v>
      </c>
      <c r="B42" s="5" t="s">
        <v>911</v>
      </c>
    </row>
    <row r="44" customFormat="false" ht="15" hidden="false" customHeight="false" outlineLevel="0" collapsed="false">
      <c r="A44" s="30" t="s">
        <v>912</v>
      </c>
      <c r="B44" s="30"/>
    </row>
    <row r="45" customFormat="false" ht="15" hidden="false" customHeight="false" outlineLevel="0" collapsed="false">
      <c r="A45" s="31" t="s">
        <v>680</v>
      </c>
      <c r="B45" s="4" t="s">
        <v>489</v>
      </c>
    </row>
    <row r="46" customFormat="false" ht="15" hidden="false" customHeight="false" outlineLevel="0" collapsed="false">
      <c r="A46" s="31" t="s">
        <v>333</v>
      </c>
      <c r="B46" s="4" t="s">
        <v>338</v>
      </c>
    </row>
    <row r="47" customFormat="false" ht="15" hidden="false" customHeight="false" outlineLevel="0" collapsed="false">
      <c r="A47" s="31" t="s">
        <v>682</v>
      </c>
      <c r="B47" s="4" t="s">
        <v>488</v>
      </c>
    </row>
    <row r="48" customFormat="false" ht="15" hidden="false" customHeight="false" outlineLevel="0" collapsed="false">
      <c r="A48" s="31" t="s">
        <v>786</v>
      </c>
      <c r="B48" s="4" t="s">
        <v>809</v>
      </c>
    </row>
    <row r="49" customFormat="false" ht="15" hidden="false" customHeight="false" outlineLevel="0" collapsed="false">
      <c r="A49" s="31" t="s">
        <v>874</v>
      </c>
      <c r="B49" s="4" t="s">
        <v>913</v>
      </c>
    </row>
    <row r="50" customFormat="false" ht="15" hidden="false" customHeight="false" outlineLevel="0" collapsed="false">
      <c r="A50" s="31" t="s">
        <v>876</v>
      </c>
      <c r="B50" s="4" t="s">
        <v>914</v>
      </c>
    </row>
    <row r="51" customFormat="false" ht="15" hidden="false" customHeight="false" outlineLevel="0" collapsed="false">
      <c r="A51" s="31" t="s">
        <v>878</v>
      </c>
      <c r="B51" s="4" t="s">
        <v>915</v>
      </c>
    </row>
    <row r="52" customFormat="false" ht="15" hidden="false" customHeight="false" outlineLevel="0" collapsed="false">
      <c r="A52" s="31" t="s">
        <v>880</v>
      </c>
      <c r="B52" s="4" t="s">
        <v>916</v>
      </c>
    </row>
    <row r="53" customFormat="false" ht="15" hidden="false" customHeight="false" outlineLevel="0" collapsed="false">
      <c r="A53" s="31" t="s">
        <v>469</v>
      </c>
      <c r="B53" s="4" t="s">
        <v>444</v>
      </c>
    </row>
    <row r="54" customFormat="false" ht="15" hidden="false" customHeight="false" outlineLevel="0" collapsed="false">
      <c r="A54" s="31" t="s">
        <v>882</v>
      </c>
      <c r="B54" s="4" t="s">
        <v>917</v>
      </c>
    </row>
    <row r="55" customFormat="false" ht="23.85" hidden="false" customHeight="false" outlineLevel="0" collapsed="false">
      <c r="A55" s="31" t="s">
        <v>884</v>
      </c>
      <c r="B55" s="4" t="s">
        <v>918</v>
      </c>
    </row>
    <row r="56" customFormat="false" ht="23.85" hidden="false" customHeight="false" outlineLevel="0" collapsed="false">
      <c r="A56" s="31" t="s">
        <v>886</v>
      </c>
      <c r="B56" s="4" t="s">
        <v>919</v>
      </c>
    </row>
    <row r="57" customFormat="false" ht="15" hidden="false" customHeight="false" outlineLevel="0" collapsed="false">
      <c r="A57" s="31" t="s">
        <v>888</v>
      </c>
      <c r="B57" s="4" t="s">
        <v>920</v>
      </c>
    </row>
    <row r="58" customFormat="false" ht="15" hidden="false" customHeight="false" outlineLevel="0" collapsed="false">
      <c r="A58" s="31" t="s">
        <v>890</v>
      </c>
      <c r="B58" s="4" t="s">
        <v>921</v>
      </c>
    </row>
    <row r="59" customFormat="false" ht="15" hidden="false" customHeight="false" outlineLevel="0" collapsed="false">
      <c r="A59" s="31" t="s">
        <v>892</v>
      </c>
      <c r="B59" s="4" t="s">
        <v>922</v>
      </c>
    </row>
    <row r="60" customFormat="false" ht="15" hidden="false" customHeight="false" outlineLevel="0" collapsed="false">
      <c r="A60" s="31" t="s">
        <v>894</v>
      </c>
      <c r="B60" s="4" t="s">
        <v>923</v>
      </c>
    </row>
    <row r="61" customFormat="false" ht="15" hidden="false" customHeight="false" outlineLevel="0" collapsed="false">
      <c r="A61" s="31" t="s">
        <v>173</v>
      </c>
      <c r="B61" s="4" t="s">
        <v>804</v>
      </c>
    </row>
    <row r="62" customFormat="false" ht="15" hidden="false" customHeight="false" outlineLevel="0" collapsed="false">
      <c r="A62" s="31" t="s">
        <v>896</v>
      </c>
      <c r="B62" s="5" t="s">
        <v>924</v>
      </c>
    </row>
    <row r="64" customFormat="false" ht="15" hidden="false" customHeight="false" outlineLevel="0" collapsed="false">
      <c r="A64" s="30" t="s">
        <v>925</v>
      </c>
      <c r="B64" s="30"/>
    </row>
    <row r="65" customFormat="false" ht="15" hidden="false" customHeight="false" outlineLevel="0" collapsed="false">
      <c r="A65" s="31" t="s">
        <v>680</v>
      </c>
      <c r="B65" s="4" t="s">
        <v>578</v>
      </c>
    </row>
    <row r="66" customFormat="false" ht="15" hidden="false" customHeight="false" outlineLevel="0" collapsed="false">
      <c r="A66" s="31" t="s">
        <v>333</v>
      </c>
      <c r="B66" s="4" t="s">
        <v>343</v>
      </c>
    </row>
    <row r="67" customFormat="false" ht="15" hidden="false" customHeight="false" outlineLevel="0" collapsed="false">
      <c r="A67" s="31" t="s">
        <v>682</v>
      </c>
      <c r="B67" s="4" t="s">
        <v>577</v>
      </c>
    </row>
    <row r="68" customFormat="false" ht="15" hidden="false" customHeight="false" outlineLevel="0" collapsed="false">
      <c r="A68" s="31" t="s">
        <v>786</v>
      </c>
      <c r="B68" s="4" t="s">
        <v>926</v>
      </c>
    </row>
    <row r="69" customFormat="false" ht="15" hidden="false" customHeight="false" outlineLevel="0" collapsed="false">
      <c r="A69" s="31" t="s">
        <v>874</v>
      </c>
      <c r="B69" s="4" t="s">
        <v>927</v>
      </c>
    </row>
    <row r="70" customFormat="false" ht="15" hidden="false" customHeight="false" outlineLevel="0" collapsed="false">
      <c r="A70" s="31" t="s">
        <v>876</v>
      </c>
      <c r="B70" s="4" t="s">
        <v>928</v>
      </c>
    </row>
    <row r="71" customFormat="false" ht="15" hidden="false" customHeight="false" outlineLevel="0" collapsed="false">
      <c r="A71" s="31" t="s">
        <v>878</v>
      </c>
      <c r="B71" s="4" t="s">
        <v>902</v>
      </c>
    </row>
    <row r="72" customFormat="false" ht="15" hidden="false" customHeight="false" outlineLevel="0" collapsed="false">
      <c r="A72" s="31" t="s">
        <v>880</v>
      </c>
      <c r="B72" s="4" t="s">
        <v>929</v>
      </c>
    </row>
    <row r="73" customFormat="false" ht="15" hidden="false" customHeight="false" outlineLevel="0" collapsed="false">
      <c r="A73" s="31" t="s">
        <v>469</v>
      </c>
      <c r="B73" s="4" t="s">
        <v>441</v>
      </c>
    </row>
    <row r="74" customFormat="false" ht="15" hidden="false" customHeight="false" outlineLevel="0" collapsed="false">
      <c r="A74" s="31" t="s">
        <v>882</v>
      </c>
      <c r="B74" s="4" t="s">
        <v>930</v>
      </c>
    </row>
    <row r="75" customFormat="false" ht="23.85" hidden="false" customHeight="false" outlineLevel="0" collapsed="false">
      <c r="A75" s="31" t="s">
        <v>884</v>
      </c>
      <c r="B75" s="4" t="s">
        <v>931</v>
      </c>
    </row>
    <row r="76" customFormat="false" ht="23.85" hidden="false" customHeight="false" outlineLevel="0" collapsed="false">
      <c r="A76" s="31" t="s">
        <v>886</v>
      </c>
      <c r="B76" s="4" t="s">
        <v>932</v>
      </c>
    </row>
    <row r="77" customFormat="false" ht="23.85" hidden="false" customHeight="false" outlineLevel="0" collapsed="false">
      <c r="A77" s="31" t="s">
        <v>888</v>
      </c>
      <c r="B77" s="4" t="s">
        <v>933</v>
      </c>
    </row>
    <row r="78" customFormat="false" ht="15" hidden="false" customHeight="false" outlineLevel="0" collapsed="false">
      <c r="A78" s="31" t="s">
        <v>890</v>
      </c>
      <c r="B78" s="4" t="s">
        <v>934</v>
      </c>
    </row>
    <row r="79" customFormat="false" ht="15" hidden="false" customHeight="false" outlineLevel="0" collapsed="false">
      <c r="A79" s="31" t="s">
        <v>892</v>
      </c>
      <c r="B79" s="4" t="s">
        <v>935</v>
      </c>
    </row>
    <row r="80" customFormat="false" ht="15" hidden="false" customHeight="false" outlineLevel="0" collapsed="false">
      <c r="A80" s="31" t="s">
        <v>894</v>
      </c>
      <c r="B80" s="4" t="s">
        <v>936</v>
      </c>
    </row>
    <row r="81" customFormat="false" ht="15" hidden="false" customHeight="false" outlineLevel="0" collapsed="false">
      <c r="A81" s="31" t="s">
        <v>173</v>
      </c>
      <c r="B81" s="4" t="s">
        <v>804</v>
      </c>
    </row>
    <row r="82" customFormat="false" ht="15" hidden="false" customHeight="false" outlineLevel="0" collapsed="false">
      <c r="A82" s="31" t="s">
        <v>896</v>
      </c>
      <c r="B82" s="5" t="s">
        <v>937</v>
      </c>
    </row>
    <row r="84" customFormat="false" ht="15" hidden="false" customHeight="false" outlineLevel="0" collapsed="false">
      <c r="A84" s="30" t="s">
        <v>938</v>
      </c>
      <c r="B84" s="30"/>
    </row>
    <row r="85" customFormat="false" ht="15" hidden="false" customHeight="false" outlineLevel="0" collapsed="false">
      <c r="A85" s="31" t="s">
        <v>680</v>
      </c>
      <c r="B85" s="4" t="s">
        <v>514</v>
      </c>
    </row>
    <row r="86" customFormat="false" ht="15" hidden="false" customHeight="false" outlineLevel="0" collapsed="false">
      <c r="A86" s="31" t="s">
        <v>333</v>
      </c>
      <c r="B86" s="4" t="s">
        <v>343</v>
      </c>
    </row>
    <row r="87" customFormat="false" ht="15" hidden="false" customHeight="false" outlineLevel="0" collapsed="false">
      <c r="A87" s="31" t="s">
        <v>682</v>
      </c>
      <c r="B87" s="4" t="s">
        <v>512</v>
      </c>
    </row>
    <row r="88" customFormat="false" ht="15" hidden="false" customHeight="false" outlineLevel="0" collapsed="false">
      <c r="A88" s="31" t="s">
        <v>786</v>
      </c>
      <c r="B88" s="4" t="s">
        <v>939</v>
      </c>
    </row>
    <row r="89" customFormat="false" ht="15" hidden="false" customHeight="false" outlineLevel="0" collapsed="false">
      <c r="A89" s="31" t="s">
        <v>874</v>
      </c>
      <c r="B89" s="4" t="s">
        <v>940</v>
      </c>
    </row>
    <row r="90" customFormat="false" ht="15" hidden="false" customHeight="false" outlineLevel="0" collapsed="false">
      <c r="A90" s="31" t="s">
        <v>876</v>
      </c>
      <c r="B90" s="4" t="s">
        <v>941</v>
      </c>
    </row>
    <row r="91" customFormat="false" ht="15" hidden="false" customHeight="false" outlineLevel="0" collapsed="false">
      <c r="A91" s="31" t="s">
        <v>878</v>
      </c>
      <c r="B91" s="4" t="s">
        <v>942</v>
      </c>
    </row>
    <row r="92" customFormat="false" ht="15" hidden="false" customHeight="false" outlineLevel="0" collapsed="false">
      <c r="A92" s="31" t="s">
        <v>880</v>
      </c>
      <c r="B92" s="4" t="s">
        <v>943</v>
      </c>
    </row>
    <row r="93" customFormat="false" ht="15" hidden="false" customHeight="false" outlineLevel="0" collapsed="false">
      <c r="A93" s="31" t="s">
        <v>469</v>
      </c>
      <c r="B93" s="4" t="s">
        <v>441</v>
      </c>
    </row>
    <row r="94" customFormat="false" ht="15" hidden="false" customHeight="false" outlineLevel="0" collapsed="false">
      <c r="A94" s="31" t="s">
        <v>882</v>
      </c>
      <c r="B94" s="4" t="s">
        <v>944</v>
      </c>
    </row>
    <row r="95" customFormat="false" ht="35.05" hidden="false" customHeight="false" outlineLevel="0" collapsed="false">
      <c r="A95" s="31" t="s">
        <v>884</v>
      </c>
      <c r="B95" s="4" t="s">
        <v>945</v>
      </c>
    </row>
    <row r="96" customFormat="false" ht="23.85" hidden="false" customHeight="false" outlineLevel="0" collapsed="false">
      <c r="A96" s="31" t="s">
        <v>886</v>
      </c>
      <c r="B96" s="4" t="s">
        <v>946</v>
      </c>
    </row>
    <row r="97" customFormat="false" ht="23.85" hidden="false" customHeight="false" outlineLevel="0" collapsed="false">
      <c r="A97" s="31" t="s">
        <v>888</v>
      </c>
      <c r="B97" s="4" t="s">
        <v>947</v>
      </c>
    </row>
    <row r="98" customFormat="false" ht="15" hidden="false" customHeight="false" outlineLevel="0" collapsed="false">
      <c r="A98" s="31" t="s">
        <v>890</v>
      </c>
      <c r="B98" s="4" t="s">
        <v>948</v>
      </c>
    </row>
    <row r="99" customFormat="false" ht="15" hidden="false" customHeight="false" outlineLevel="0" collapsed="false">
      <c r="A99" s="31" t="s">
        <v>892</v>
      </c>
      <c r="B99" s="4" t="s">
        <v>949</v>
      </c>
    </row>
    <row r="100" customFormat="false" ht="15" hidden="false" customHeight="false" outlineLevel="0" collapsed="false">
      <c r="A100" s="31" t="s">
        <v>894</v>
      </c>
      <c r="B100" s="4" t="s">
        <v>950</v>
      </c>
    </row>
    <row r="101" customFormat="false" ht="15" hidden="false" customHeight="false" outlineLevel="0" collapsed="false">
      <c r="A101" s="31" t="s">
        <v>173</v>
      </c>
      <c r="B101" s="4" t="s">
        <v>951</v>
      </c>
    </row>
    <row r="102" customFormat="false" ht="15" hidden="false" customHeight="false" outlineLevel="0" collapsed="false">
      <c r="A102" s="31" t="s">
        <v>896</v>
      </c>
      <c r="B102" s="4" t="s">
        <v>952</v>
      </c>
    </row>
    <row r="104" customFormat="false" ht="15" hidden="false" customHeight="false" outlineLevel="0" collapsed="false">
      <c r="A104" s="30" t="s">
        <v>953</v>
      </c>
      <c r="B104" s="30"/>
    </row>
    <row r="105" customFormat="false" ht="15" hidden="false" customHeight="false" outlineLevel="0" collapsed="false">
      <c r="A105" s="31" t="s">
        <v>680</v>
      </c>
      <c r="B105" s="4" t="s">
        <v>954</v>
      </c>
    </row>
    <row r="106" customFormat="false" ht="15" hidden="false" customHeight="false" outlineLevel="0" collapsed="false">
      <c r="A106" s="31" t="s">
        <v>333</v>
      </c>
      <c r="B106" s="4" t="s">
        <v>338</v>
      </c>
    </row>
    <row r="107" customFormat="false" ht="15" hidden="false" customHeight="false" outlineLevel="0" collapsed="false">
      <c r="A107" s="31" t="s">
        <v>682</v>
      </c>
      <c r="B107" s="4" t="s">
        <v>685</v>
      </c>
    </row>
    <row r="108" customFormat="false" ht="15" hidden="false" customHeight="false" outlineLevel="0" collapsed="false">
      <c r="A108" s="31" t="s">
        <v>786</v>
      </c>
      <c r="B108" s="4" t="s">
        <v>685</v>
      </c>
    </row>
    <row r="109" customFormat="false" ht="15" hidden="false" customHeight="false" outlineLevel="0" collapsed="false">
      <c r="A109" s="31" t="s">
        <v>874</v>
      </c>
      <c r="B109" s="4" t="s">
        <v>955</v>
      </c>
    </row>
    <row r="110" customFormat="false" ht="15" hidden="false" customHeight="false" outlineLevel="0" collapsed="false">
      <c r="A110" s="31" t="s">
        <v>876</v>
      </c>
      <c r="B110" s="4" t="s">
        <v>956</v>
      </c>
    </row>
    <row r="111" customFormat="false" ht="15" hidden="false" customHeight="false" outlineLevel="0" collapsed="false">
      <c r="A111" s="31" t="s">
        <v>878</v>
      </c>
      <c r="B111" s="4" t="s">
        <v>656</v>
      </c>
    </row>
    <row r="112" customFormat="false" ht="15" hidden="false" customHeight="false" outlineLevel="0" collapsed="false">
      <c r="A112" s="31" t="s">
        <v>880</v>
      </c>
      <c r="B112" s="4" t="s">
        <v>957</v>
      </c>
    </row>
    <row r="113" customFormat="false" ht="15" hidden="false" customHeight="false" outlineLevel="0" collapsed="false">
      <c r="A113" s="31" t="s">
        <v>469</v>
      </c>
      <c r="B113" s="4" t="s">
        <v>202</v>
      </c>
    </row>
    <row r="114" customFormat="false" ht="15" hidden="false" customHeight="false" outlineLevel="0" collapsed="false">
      <c r="A114" s="31" t="s">
        <v>882</v>
      </c>
      <c r="B114" s="4" t="s">
        <v>958</v>
      </c>
    </row>
    <row r="115" customFormat="false" ht="23.85" hidden="false" customHeight="false" outlineLevel="0" collapsed="false">
      <c r="A115" s="31" t="s">
        <v>884</v>
      </c>
      <c r="B115" s="4" t="s">
        <v>959</v>
      </c>
    </row>
    <row r="116" customFormat="false" ht="15" hidden="false" customHeight="false" outlineLevel="0" collapsed="false">
      <c r="A116" s="31" t="s">
        <v>886</v>
      </c>
      <c r="B116" s="4" t="s">
        <v>202</v>
      </c>
    </row>
    <row r="117" customFormat="false" ht="15" hidden="false" customHeight="false" outlineLevel="0" collapsed="false">
      <c r="A117" s="31" t="s">
        <v>888</v>
      </c>
      <c r="B117" s="4" t="s">
        <v>960</v>
      </c>
    </row>
    <row r="118" customFormat="false" ht="15" hidden="false" customHeight="false" outlineLevel="0" collapsed="false">
      <c r="A118" s="31" t="s">
        <v>890</v>
      </c>
      <c r="B118" s="4" t="s">
        <v>961</v>
      </c>
    </row>
    <row r="119" customFormat="false" ht="15" hidden="false" customHeight="false" outlineLevel="0" collapsed="false">
      <c r="A119" s="31" t="s">
        <v>892</v>
      </c>
      <c r="B119" s="4" t="s">
        <v>962</v>
      </c>
    </row>
    <row r="120" customFormat="false" ht="15" hidden="false" customHeight="false" outlineLevel="0" collapsed="false">
      <c r="A120" s="31" t="s">
        <v>894</v>
      </c>
      <c r="B120" s="4" t="s">
        <v>963</v>
      </c>
    </row>
    <row r="121" customFormat="false" ht="15" hidden="false" customHeight="false" outlineLevel="0" collapsed="false">
      <c r="A121" s="31" t="s">
        <v>173</v>
      </c>
      <c r="B121" s="4" t="s">
        <v>964</v>
      </c>
    </row>
    <row r="122" customFormat="false" ht="23.85" hidden="false" customHeight="false" outlineLevel="0" collapsed="false">
      <c r="A122" s="31" t="s">
        <v>896</v>
      </c>
      <c r="B122" s="5" t="s">
        <v>965</v>
      </c>
    </row>
  </sheetData>
  <mergeCells count="6">
    <mergeCell ref="A4:B4"/>
    <mergeCell ref="A24:B24"/>
    <mergeCell ref="A44:B44"/>
    <mergeCell ref="A64:B64"/>
    <mergeCell ref="A84:B84"/>
    <mergeCell ref="A104:B10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K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7"/>
    <col collapsed="false" customWidth="true" hidden="false" outlineLevel="0" max="3" min="3" style="0" width="62"/>
    <col collapsed="false" customWidth="true" hidden="false" outlineLevel="0" max="4" min="4" style="0" width="34"/>
    <col collapsed="false" customWidth="true" hidden="false" outlineLevel="0" max="5" min="5" style="0" width="15"/>
    <col collapsed="false" customWidth="true" hidden="false" outlineLevel="0" max="6" min="6" style="0" width="13"/>
    <col collapsed="false" customWidth="true" hidden="false" outlineLevel="0" max="7" min="7" style="0" width="52"/>
    <col collapsed="false" customWidth="true" hidden="false" outlineLevel="0" max="8" min="8" style="0" width="16"/>
    <col collapsed="false" customWidth="true" hidden="false" outlineLevel="0" max="9" min="9" style="0" width="9"/>
    <col collapsed="false" customWidth="true" hidden="false" outlineLevel="0" max="10" min="10" style="0" width="15"/>
    <col collapsed="false" customWidth="true" hidden="false" outlineLevel="0" max="11" min="11" style="0" width="46"/>
  </cols>
  <sheetData>
    <row r="1" customFormat="false" ht="17.35" hidden="false" customHeight="false" outlineLevel="0" collapsed="false">
      <c r="A1" s="1" t="s">
        <v>966</v>
      </c>
    </row>
    <row r="2" customFormat="false" ht="15" hidden="false" customHeight="false" outlineLevel="0" collapsed="false">
      <c r="A2" s="2" t="s">
        <v>967</v>
      </c>
    </row>
    <row r="3" customFormat="false" ht="30" hidden="false" customHeight="true" outlineLevel="0" collapsed="false">
      <c r="A3" s="3" t="s">
        <v>968</v>
      </c>
      <c r="B3" s="3" t="s">
        <v>969</v>
      </c>
      <c r="C3" s="3" t="s">
        <v>970</v>
      </c>
      <c r="D3" s="3" t="s">
        <v>682</v>
      </c>
      <c r="E3" s="3" t="s">
        <v>458</v>
      </c>
      <c r="F3" s="3" t="s">
        <v>971</v>
      </c>
      <c r="G3" s="3" t="s">
        <v>460</v>
      </c>
      <c r="H3" s="3" t="s">
        <v>972</v>
      </c>
      <c r="I3" s="3" t="s">
        <v>333</v>
      </c>
      <c r="J3" s="3" t="s">
        <v>287</v>
      </c>
      <c r="K3" s="3" t="s">
        <v>973</v>
      </c>
    </row>
    <row r="4" customFormat="false" ht="15" hidden="false" customHeight="false" outlineLevel="0" collapsed="false">
      <c r="A4" s="10" t="s">
        <v>974</v>
      </c>
      <c r="B4" s="10" t="s">
        <v>975</v>
      </c>
      <c r="C4" s="4" t="s">
        <v>976</v>
      </c>
      <c r="D4" s="10" t="s">
        <v>499</v>
      </c>
      <c r="E4" s="10" t="s">
        <v>493</v>
      </c>
      <c r="F4" s="10" t="s">
        <v>977</v>
      </c>
      <c r="G4" s="4" t="s">
        <v>500</v>
      </c>
      <c r="H4" s="10" t="s">
        <v>978</v>
      </c>
      <c r="I4" s="10" t="s">
        <v>343</v>
      </c>
      <c r="J4" s="10" t="s">
        <v>979</v>
      </c>
      <c r="K4" s="4" t="s">
        <v>980</v>
      </c>
    </row>
    <row r="5" customFormat="false" ht="15" hidden="false" customHeight="false" outlineLevel="0" collapsed="false">
      <c r="A5" s="10" t="s">
        <v>974</v>
      </c>
      <c r="B5" s="10" t="s">
        <v>981</v>
      </c>
      <c r="C5" s="4" t="s">
        <v>982</v>
      </c>
      <c r="D5" s="10" t="s">
        <v>512</v>
      </c>
      <c r="E5" s="10" t="s">
        <v>493</v>
      </c>
      <c r="F5" s="10" t="s">
        <v>977</v>
      </c>
      <c r="G5" s="4" t="s">
        <v>514</v>
      </c>
      <c r="H5" s="10" t="s">
        <v>983</v>
      </c>
      <c r="I5" s="10" t="s">
        <v>343</v>
      </c>
      <c r="J5" s="10" t="s">
        <v>944</v>
      </c>
      <c r="K5" s="4" t="s">
        <v>984</v>
      </c>
    </row>
    <row r="6" customFormat="false" ht="15" hidden="false" customHeight="false" outlineLevel="0" collapsed="false">
      <c r="A6" s="10" t="s">
        <v>985</v>
      </c>
      <c r="B6" s="10" t="s">
        <v>975</v>
      </c>
      <c r="C6" s="4" t="s">
        <v>986</v>
      </c>
      <c r="D6" s="10" t="s">
        <v>509</v>
      </c>
      <c r="E6" s="10" t="s">
        <v>493</v>
      </c>
      <c r="F6" s="10" t="s">
        <v>977</v>
      </c>
      <c r="G6" s="4" t="s">
        <v>510</v>
      </c>
      <c r="H6" s="10" t="s">
        <v>983</v>
      </c>
      <c r="I6" s="10" t="s">
        <v>343</v>
      </c>
      <c r="J6" s="10" t="s">
        <v>883</v>
      </c>
      <c r="K6" s="4" t="s">
        <v>987</v>
      </c>
    </row>
    <row r="7" customFormat="false" ht="15" hidden="false" customHeight="false" outlineLevel="0" collapsed="false">
      <c r="A7" s="10" t="s">
        <v>985</v>
      </c>
      <c r="B7" s="10" t="s">
        <v>981</v>
      </c>
      <c r="C7" s="4" t="s">
        <v>988</v>
      </c>
      <c r="D7" s="10" t="s">
        <v>494</v>
      </c>
      <c r="E7" s="10" t="s">
        <v>495</v>
      </c>
      <c r="F7" s="10" t="s">
        <v>989</v>
      </c>
      <c r="G7" s="4" t="s">
        <v>496</v>
      </c>
      <c r="H7" s="10" t="s">
        <v>978</v>
      </c>
      <c r="I7" s="10" t="s">
        <v>343</v>
      </c>
      <c r="J7" s="10" t="s">
        <v>979</v>
      </c>
      <c r="K7" s="4" t="s">
        <v>685</v>
      </c>
    </row>
    <row r="8" customFormat="false" ht="15" hidden="false" customHeight="false" outlineLevel="0" collapsed="false">
      <c r="A8" s="10" t="s">
        <v>990</v>
      </c>
      <c r="B8" s="10" t="s">
        <v>975</v>
      </c>
      <c r="C8" s="4" t="s">
        <v>991</v>
      </c>
      <c r="D8" s="10" t="s">
        <v>536</v>
      </c>
      <c r="E8" s="10" t="s">
        <v>493</v>
      </c>
      <c r="F8" s="10" t="s">
        <v>977</v>
      </c>
      <c r="G8" s="4" t="s">
        <v>537</v>
      </c>
      <c r="H8" s="10" t="s">
        <v>992</v>
      </c>
      <c r="I8" s="10" t="s">
        <v>343</v>
      </c>
      <c r="J8" s="10" t="s">
        <v>993</v>
      </c>
      <c r="K8" s="4" t="s">
        <v>994</v>
      </c>
    </row>
    <row r="9" customFormat="false" ht="23.85" hidden="false" customHeight="false" outlineLevel="0" collapsed="false">
      <c r="A9" s="10" t="s">
        <v>990</v>
      </c>
      <c r="B9" s="10" t="s">
        <v>981</v>
      </c>
      <c r="C9" s="4" t="s">
        <v>995</v>
      </c>
      <c r="D9" s="10" t="s">
        <v>599</v>
      </c>
      <c r="E9" s="10" t="s">
        <v>495</v>
      </c>
      <c r="F9" s="10" t="s">
        <v>996</v>
      </c>
      <c r="G9" s="4" t="s">
        <v>600</v>
      </c>
      <c r="H9" s="10" t="s">
        <v>137</v>
      </c>
      <c r="I9" s="10" t="s">
        <v>343</v>
      </c>
      <c r="J9" s="10" t="s">
        <v>997</v>
      </c>
      <c r="K9" s="4" t="s">
        <v>998</v>
      </c>
    </row>
    <row r="10" customFormat="false" ht="15" hidden="false" customHeight="false" outlineLevel="0" collapsed="false">
      <c r="A10" s="10" t="s">
        <v>999</v>
      </c>
      <c r="B10" s="10" t="s">
        <v>975</v>
      </c>
      <c r="C10" s="4" t="s">
        <v>1000</v>
      </c>
      <c r="D10" s="10" t="s">
        <v>528</v>
      </c>
      <c r="E10" s="10" t="s">
        <v>493</v>
      </c>
      <c r="F10" s="10" t="s">
        <v>977</v>
      </c>
      <c r="G10" s="4" t="s">
        <v>1001</v>
      </c>
      <c r="H10" s="10" t="s">
        <v>992</v>
      </c>
      <c r="I10" s="10" t="s">
        <v>399</v>
      </c>
      <c r="J10" s="10" t="s">
        <v>993</v>
      </c>
      <c r="K10" s="4" t="s">
        <v>1002</v>
      </c>
    </row>
    <row r="11" customFormat="false" ht="15" hidden="false" customHeight="false" outlineLevel="0" collapsed="false">
      <c r="A11" s="10" t="s">
        <v>999</v>
      </c>
      <c r="B11" s="10" t="s">
        <v>981</v>
      </c>
      <c r="C11" s="4" t="s">
        <v>1003</v>
      </c>
      <c r="D11" s="10" t="s">
        <v>621</v>
      </c>
      <c r="E11" s="10" t="s">
        <v>493</v>
      </c>
      <c r="F11" s="10" t="s">
        <v>977</v>
      </c>
      <c r="G11" s="4" t="s">
        <v>622</v>
      </c>
      <c r="H11" s="10" t="s">
        <v>1004</v>
      </c>
      <c r="I11" s="10" t="s">
        <v>399</v>
      </c>
      <c r="J11" s="10" t="s">
        <v>979</v>
      </c>
      <c r="K11" s="4" t="s">
        <v>994</v>
      </c>
    </row>
    <row r="12" customFormat="false" ht="15" hidden="false" customHeight="false" outlineLevel="0" collapsed="false">
      <c r="A12" s="10" t="s">
        <v>1005</v>
      </c>
      <c r="B12" s="10" t="s">
        <v>975</v>
      </c>
      <c r="C12" s="4" t="s">
        <v>1006</v>
      </c>
      <c r="D12" s="10" t="s">
        <v>1007</v>
      </c>
      <c r="E12" s="10" t="s">
        <v>495</v>
      </c>
      <c r="F12" s="10" t="s">
        <v>996</v>
      </c>
      <c r="G12" s="4" t="s">
        <v>535</v>
      </c>
      <c r="H12" s="10" t="s">
        <v>992</v>
      </c>
      <c r="I12" s="10" t="s">
        <v>399</v>
      </c>
      <c r="J12" s="10" t="s">
        <v>944</v>
      </c>
      <c r="K12" s="4" t="s">
        <v>685</v>
      </c>
    </row>
    <row r="13" customFormat="false" ht="15" hidden="false" customHeight="false" outlineLevel="0" collapsed="false">
      <c r="A13" s="10" t="s">
        <v>1005</v>
      </c>
      <c r="B13" s="10" t="s">
        <v>981</v>
      </c>
      <c r="C13" s="4" t="s">
        <v>1008</v>
      </c>
      <c r="D13" s="10" t="s">
        <v>1009</v>
      </c>
      <c r="E13" s="10" t="s">
        <v>493</v>
      </c>
      <c r="F13" s="10" t="s">
        <v>977</v>
      </c>
      <c r="G13" s="4" t="s">
        <v>1010</v>
      </c>
      <c r="H13" s="10" t="s">
        <v>1011</v>
      </c>
      <c r="I13" s="10" t="s">
        <v>399</v>
      </c>
      <c r="J13" s="10" t="s">
        <v>944</v>
      </c>
      <c r="K13" s="4" t="s">
        <v>1012</v>
      </c>
    </row>
    <row r="14" customFormat="false" ht="15" hidden="false" customHeight="false" outlineLevel="0" collapsed="false">
      <c r="A14" s="10" t="s">
        <v>1013</v>
      </c>
      <c r="B14" s="10" t="s">
        <v>975</v>
      </c>
      <c r="C14" s="4" t="s">
        <v>1014</v>
      </c>
      <c r="D14" s="10" t="s">
        <v>698</v>
      </c>
      <c r="E14" s="10" t="s">
        <v>495</v>
      </c>
      <c r="F14" s="10" t="s">
        <v>989</v>
      </c>
      <c r="G14" s="4" t="s">
        <v>1015</v>
      </c>
      <c r="H14" s="10" t="s">
        <v>992</v>
      </c>
      <c r="I14" s="10" t="s">
        <v>399</v>
      </c>
      <c r="J14" s="10" t="s">
        <v>944</v>
      </c>
      <c r="K14" s="4" t="s">
        <v>1016</v>
      </c>
    </row>
    <row r="15" customFormat="false" ht="15" hidden="false" customHeight="false" outlineLevel="0" collapsed="false">
      <c r="A15" s="10" t="s">
        <v>1013</v>
      </c>
      <c r="B15" s="10" t="s">
        <v>981</v>
      </c>
      <c r="C15" s="4" t="s">
        <v>1017</v>
      </c>
      <c r="D15" s="10" t="s">
        <v>1018</v>
      </c>
      <c r="E15" s="10" t="s">
        <v>493</v>
      </c>
      <c r="F15" s="10" t="s">
        <v>977</v>
      </c>
      <c r="G15" s="4" t="s">
        <v>1019</v>
      </c>
      <c r="H15" s="10" t="s">
        <v>66</v>
      </c>
      <c r="I15" s="10" t="s">
        <v>399</v>
      </c>
      <c r="J15" s="10" t="s">
        <v>979</v>
      </c>
      <c r="K15" s="4" t="s">
        <v>1020</v>
      </c>
    </row>
  </sheetData>
  <autoFilter ref="A3:K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46"/>
    <col collapsed="false" customWidth="true" hidden="false" outlineLevel="0" max="3" min="3" style="0" width="40"/>
    <col collapsed="false" customWidth="true" hidden="false" outlineLevel="0" max="4" min="4" style="0" width="22"/>
    <col collapsed="false" customWidth="true" hidden="false" outlineLevel="0" max="5" min="5" style="0" width="40"/>
    <col collapsed="false" customWidth="true" hidden="false" outlineLevel="0" max="6" min="6" style="0" width="62"/>
  </cols>
  <sheetData>
    <row r="1" customFormat="false" ht="17.35" hidden="false" customHeight="false" outlineLevel="0" collapsed="false">
      <c r="A1" s="1" t="s">
        <v>1021</v>
      </c>
    </row>
    <row r="2" customFormat="false" ht="15" hidden="false" customHeight="false" outlineLevel="0" collapsed="false">
      <c r="A2" s="2" t="s">
        <v>1022</v>
      </c>
    </row>
    <row r="3" customFormat="false" ht="30" hidden="false" customHeight="true" outlineLevel="0" collapsed="false">
      <c r="A3" s="3" t="s">
        <v>32</v>
      </c>
      <c r="B3" s="3" t="s">
        <v>1023</v>
      </c>
      <c r="C3" s="3" t="s">
        <v>1024</v>
      </c>
      <c r="D3" s="3" t="s">
        <v>1025</v>
      </c>
      <c r="E3" s="3" t="s">
        <v>1026</v>
      </c>
      <c r="F3" s="3" t="s">
        <v>475</v>
      </c>
    </row>
    <row r="4" customFormat="false" ht="15" hidden="false" customHeight="false" outlineLevel="0" collapsed="false">
      <c r="A4" s="4" t="s">
        <v>1027</v>
      </c>
      <c r="B4" s="4" t="s">
        <v>479</v>
      </c>
      <c r="C4" s="4" t="s">
        <v>476</v>
      </c>
      <c r="D4" s="10" t="s">
        <v>1028</v>
      </c>
      <c r="E4" s="4" t="s">
        <v>1029</v>
      </c>
      <c r="F4" s="4" t="s">
        <v>1030</v>
      </c>
    </row>
    <row r="5" customFormat="false" ht="15" hidden="false" customHeight="false" outlineLevel="0" collapsed="false">
      <c r="A5" s="4" t="s">
        <v>1027</v>
      </c>
      <c r="B5" s="4" t="s">
        <v>503</v>
      </c>
      <c r="C5" s="4" t="s">
        <v>1031</v>
      </c>
      <c r="D5" s="10" t="s">
        <v>1028</v>
      </c>
      <c r="E5" s="4" t="s">
        <v>1029</v>
      </c>
      <c r="F5" s="4"/>
    </row>
    <row r="6" customFormat="false" ht="15" hidden="false" customHeight="false" outlineLevel="0" collapsed="false">
      <c r="A6" s="4" t="s">
        <v>689</v>
      </c>
      <c r="B6" s="4" t="s">
        <v>1032</v>
      </c>
      <c r="C6" s="4" t="s">
        <v>1033</v>
      </c>
      <c r="D6" s="10" t="s">
        <v>1034</v>
      </c>
      <c r="E6" s="4" t="s">
        <v>1035</v>
      </c>
      <c r="F6" s="4" t="s">
        <v>1036</v>
      </c>
    </row>
    <row r="7" customFormat="false" ht="23.85" hidden="false" customHeight="false" outlineLevel="0" collapsed="false">
      <c r="A7" s="4" t="s">
        <v>1037</v>
      </c>
      <c r="B7" s="4" t="s">
        <v>322</v>
      </c>
      <c r="C7" s="4" t="s">
        <v>1038</v>
      </c>
      <c r="D7" s="10" t="s">
        <v>1039</v>
      </c>
      <c r="E7" s="4" t="s">
        <v>1040</v>
      </c>
      <c r="F7" s="4" t="s">
        <v>1041</v>
      </c>
    </row>
    <row r="8" customFormat="false" ht="15" hidden="false" customHeight="false" outlineLevel="0" collapsed="false">
      <c r="A8" s="4" t="s">
        <v>1037</v>
      </c>
      <c r="B8" s="4" t="s">
        <v>1042</v>
      </c>
      <c r="C8" s="4" t="s">
        <v>1043</v>
      </c>
      <c r="D8" s="10" t="s">
        <v>1044</v>
      </c>
      <c r="E8" s="4" t="s">
        <v>1045</v>
      </c>
      <c r="F8" s="4" t="s">
        <v>1046</v>
      </c>
    </row>
    <row r="9" customFormat="false" ht="15" hidden="false" customHeight="false" outlineLevel="0" collapsed="false">
      <c r="A9" s="4" t="s">
        <v>1037</v>
      </c>
      <c r="B9" s="4" t="s">
        <v>1047</v>
      </c>
      <c r="C9" s="4" t="s">
        <v>1048</v>
      </c>
      <c r="D9" s="10" t="s">
        <v>1049</v>
      </c>
      <c r="E9" s="4" t="s">
        <v>1050</v>
      </c>
      <c r="F9" s="4" t="s">
        <v>1051</v>
      </c>
    </row>
    <row r="10" customFormat="false" ht="15" hidden="false" customHeight="false" outlineLevel="0" collapsed="false">
      <c r="A10" s="4" t="s">
        <v>586</v>
      </c>
      <c r="B10" s="4" t="s">
        <v>1052</v>
      </c>
      <c r="C10" s="4" t="s">
        <v>1053</v>
      </c>
      <c r="D10" s="10" t="s">
        <v>1034</v>
      </c>
      <c r="E10" s="4" t="s">
        <v>1054</v>
      </c>
      <c r="F10" s="4"/>
    </row>
    <row r="11" customFormat="false" ht="15" hidden="false" customHeight="false" outlineLevel="0" collapsed="false">
      <c r="A11" s="4" t="s">
        <v>1055</v>
      </c>
      <c r="B11" s="4" t="s">
        <v>1056</v>
      </c>
      <c r="C11" s="4" t="s">
        <v>1057</v>
      </c>
      <c r="D11" s="10" t="s">
        <v>1058</v>
      </c>
      <c r="E11" s="4" t="s">
        <v>1059</v>
      </c>
      <c r="F11" s="4"/>
    </row>
    <row r="12" customFormat="false" ht="15" hidden="false" customHeight="false" outlineLevel="0" collapsed="false">
      <c r="A12" s="4" t="s">
        <v>1060</v>
      </c>
      <c r="B12" s="4" t="s">
        <v>1061</v>
      </c>
      <c r="C12" s="4" t="s">
        <v>1062</v>
      </c>
      <c r="D12" s="10" t="s">
        <v>1063</v>
      </c>
      <c r="E12" s="4" t="s">
        <v>1064</v>
      </c>
      <c r="F12" s="4" t="s">
        <v>1065</v>
      </c>
    </row>
    <row r="13" customFormat="false" ht="15" hidden="false" customHeight="false" outlineLevel="0" collapsed="false">
      <c r="A13" s="4" t="s">
        <v>1060</v>
      </c>
      <c r="B13" s="4" t="s">
        <v>1066</v>
      </c>
      <c r="C13" s="4" t="s">
        <v>1067</v>
      </c>
      <c r="D13" s="10" t="s">
        <v>1068</v>
      </c>
      <c r="E13" s="4" t="s">
        <v>1069</v>
      </c>
      <c r="F13" s="4" t="s">
        <v>1070</v>
      </c>
    </row>
    <row r="14" customFormat="false" ht="15" hidden="false" customHeight="false" outlineLevel="0" collapsed="false">
      <c r="A14" s="4" t="s">
        <v>1071</v>
      </c>
      <c r="B14" s="4" t="s">
        <v>1072</v>
      </c>
      <c r="C14" s="4" t="s">
        <v>1073</v>
      </c>
      <c r="D14" s="10" t="s">
        <v>1074</v>
      </c>
      <c r="E14" s="4" t="s">
        <v>1059</v>
      </c>
      <c r="F14" s="4"/>
    </row>
    <row r="15" customFormat="false" ht="15" hidden="false" customHeight="false" outlineLevel="0" collapsed="false">
      <c r="A15" s="4" t="s">
        <v>1075</v>
      </c>
      <c r="B15" s="4" t="s">
        <v>1076</v>
      </c>
      <c r="C15" s="4" t="s">
        <v>1077</v>
      </c>
      <c r="D15" s="10" t="s">
        <v>1078</v>
      </c>
      <c r="E15" s="4" t="s">
        <v>1079</v>
      </c>
      <c r="F15" s="4"/>
    </row>
    <row r="16" customFormat="false" ht="23.85" hidden="false" customHeight="false" outlineLevel="0" collapsed="false">
      <c r="A16" s="4" t="s">
        <v>660</v>
      </c>
      <c r="B16" s="4" t="s">
        <v>1080</v>
      </c>
      <c r="C16" s="4" t="s">
        <v>1081</v>
      </c>
      <c r="D16" s="10" t="s">
        <v>1082</v>
      </c>
      <c r="E16" s="4" t="s">
        <v>1083</v>
      </c>
      <c r="F16" s="4"/>
    </row>
    <row r="17" customFormat="false" ht="23.85" hidden="false" customHeight="false" outlineLevel="0" collapsed="false">
      <c r="A17" s="4" t="s">
        <v>1084</v>
      </c>
      <c r="B17" s="4" t="s">
        <v>1085</v>
      </c>
      <c r="C17" s="4" t="s">
        <v>1086</v>
      </c>
      <c r="D17" s="10" t="s">
        <v>1087</v>
      </c>
      <c r="E17" s="4" t="s">
        <v>1088</v>
      </c>
      <c r="F17" s="4" t="s">
        <v>1089</v>
      </c>
    </row>
    <row r="18" customFormat="false" ht="15" hidden="false" customHeight="false" outlineLevel="0" collapsed="false">
      <c r="A18" s="4" t="s">
        <v>1090</v>
      </c>
      <c r="B18" s="4" t="s">
        <v>1091</v>
      </c>
      <c r="C18" s="4" t="s">
        <v>1092</v>
      </c>
      <c r="D18" s="10" t="s">
        <v>151</v>
      </c>
      <c r="E18" s="4" t="s">
        <v>1093</v>
      </c>
      <c r="F18" s="4" t="s">
        <v>1094</v>
      </c>
    </row>
  </sheetData>
  <autoFilter ref="A3:F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G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6"/>
    <col collapsed="false" customWidth="true" hidden="false" outlineLevel="0" max="3" min="3" style="0" width="62"/>
    <col collapsed="false" customWidth="true" hidden="false" outlineLevel="0" max="4" min="4" style="0" width="9"/>
    <col collapsed="false" customWidth="true" hidden="false" outlineLevel="0" max="6" min="5" style="0" width="62"/>
    <col collapsed="false" customWidth="true" hidden="false" outlineLevel="0" max="7" min="7" style="0" width="13"/>
  </cols>
  <sheetData>
    <row r="1" customFormat="false" ht="17.35" hidden="false" customHeight="false" outlineLevel="0" collapsed="false">
      <c r="A1" s="1" t="s">
        <v>1095</v>
      </c>
    </row>
    <row r="2" customFormat="false" ht="15" hidden="false" customHeight="false" outlineLevel="0" collapsed="false">
      <c r="A2" s="2" t="s">
        <v>1096</v>
      </c>
    </row>
    <row r="3" customFormat="false" ht="30" hidden="false" customHeight="true" outlineLevel="0" collapsed="false">
      <c r="A3" s="3" t="s">
        <v>58</v>
      </c>
      <c r="B3" s="3" t="s">
        <v>59</v>
      </c>
      <c r="C3" s="3" t="s">
        <v>1097</v>
      </c>
      <c r="D3" s="3" t="s">
        <v>333</v>
      </c>
      <c r="E3" s="3" t="s">
        <v>1098</v>
      </c>
      <c r="F3" s="3" t="s">
        <v>1099</v>
      </c>
      <c r="G3" s="3" t="s">
        <v>1100</v>
      </c>
    </row>
    <row r="4" customFormat="false" ht="15" hidden="false" customHeight="false" outlineLevel="0" collapsed="false">
      <c r="A4" s="10" t="s">
        <v>1101</v>
      </c>
      <c r="B4" s="13" t="s">
        <v>1102</v>
      </c>
      <c r="C4" s="4" t="s">
        <v>1103</v>
      </c>
      <c r="D4" s="12" t="s">
        <v>338</v>
      </c>
      <c r="E4" s="4" t="s">
        <v>1104</v>
      </c>
      <c r="F4" s="4" t="s">
        <v>1105</v>
      </c>
      <c r="G4" s="10" t="s">
        <v>1106</v>
      </c>
    </row>
    <row r="5" customFormat="false" ht="15" hidden="false" customHeight="false" outlineLevel="0" collapsed="false">
      <c r="A5" s="10" t="s">
        <v>1107</v>
      </c>
      <c r="B5" s="13" t="s">
        <v>1102</v>
      </c>
      <c r="C5" s="4" t="s">
        <v>1108</v>
      </c>
      <c r="D5" s="12" t="s">
        <v>338</v>
      </c>
      <c r="E5" s="4" t="s">
        <v>1109</v>
      </c>
      <c r="F5" s="4" t="s">
        <v>1110</v>
      </c>
      <c r="G5" s="10" t="s">
        <v>1106</v>
      </c>
    </row>
    <row r="6" customFormat="false" ht="15" hidden="false" customHeight="false" outlineLevel="0" collapsed="false">
      <c r="A6" s="10" t="s">
        <v>1111</v>
      </c>
      <c r="B6" s="13" t="s">
        <v>1102</v>
      </c>
      <c r="C6" s="4" t="s">
        <v>1112</v>
      </c>
      <c r="D6" s="12" t="s">
        <v>338</v>
      </c>
      <c r="E6" s="4" t="s">
        <v>1113</v>
      </c>
      <c r="F6" s="4" t="s">
        <v>1114</v>
      </c>
      <c r="G6" s="10" t="s">
        <v>1106</v>
      </c>
    </row>
    <row r="7" customFormat="false" ht="23.85" hidden="false" customHeight="false" outlineLevel="0" collapsed="false">
      <c r="A7" s="10" t="s">
        <v>1115</v>
      </c>
      <c r="B7" s="10" t="s">
        <v>1116</v>
      </c>
      <c r="C7" s="4" t="s">
        <v>1117</v>
      </c>
      <c r="D7" s="12" t="s">
        <v>338</v>
      </c>
      <c r="E7" s="4" t="s">
        <v>1118</v>
      </c>
      <c r="F7" s="4" t="s">
        <v>1119</v>
      </c>
      <c r="G7" s="10" t="s">
        <v>1106</v>
      </c>
    </row>
    <row r="8" customFormat="false" ht="15" hidden="false" customHeight="false" outlineLevel="0" collapsed="false">
      <c r="A8" s="10" t="s">
        <v>1120</v>
      </c>
      <c r="B8" s="10" t="s">
        <v>1121</v>
      </c>
      <c r="C8" s="4" t="s">
        <v>1122</v>
      </c>
      <c r="D8" s="12" t="s">
        <v>338</v>
      </c>
      <c r="E8" s="4" t="s">
        <v>1123</v>
      </c>
      <c r="F8" s="4" t="s">
        <v>1124</v>
      </c>
      <c r="G8" s="10" t="s">
        <v>1106</v>
      </c>
    </row>
    <row r="9" customFormat="false" ht="15" hidden="false" customHeight="false" outlineLevel="0" collapsed="false">
      <c r="A9" s="10" t="s">
        <v>1125</v>
      </c>
      <c r="B9" s="10" t="s">
        <v>1121</v>
      </c>
      <c r="C9" s="4" t="s">
        <v>1126</v>
      </c>
      <c r="D9" s="12" t="s">
        <v>338</v>
      </c>
      <c r="E9" s="4" t="s">
        <v>1127</v>
      </c>
      <c r="F9" s="4" t="s">
        <v>1128</v>
      </c>
      <c r="G9" s="10" t="s">
        <v>1106</v>
      </c>
    </row>
    <row r="10" customFormat="false" ht="23.85" hidden="false" customHeight="false" outlineLevel="0" collapsed="false">
      <c r="A10" s="10" t="s">
        <v>1129</v>
      </c>
      <c r="B10" s="10" t="s">
        <v>1130</v>
      </c>
      <c r="C10" s="4" t="s">
        <v>1131</v>
      </c>
      <c r="D10" s="12" t="s">
        <v>338</v>
      </c>
      <c r="E10" s="4" t="s">
        <v>1132</v>
      </c>
      <c r="F10" s="4" t="s">
        <v>1133</v>
      </c>
      <c r="G10" s="10" t="s">
        <v>1106</v>
      </c>
    </row>
    <row r="11" customFormat="false" ht="23.85" hidden="false" customHeight="false" outlineLevel="0" collapsed="false">
      <c r="A11" s="10" t="s">
        <v>1134</v>
      </c>
      <c r="B11" s="10" t="s">
        <v>1130</v>
      </c>
      <c r="C11" s="4" t="s">
        <v>1135</v>
      </c>
      <c r="D11" s="12" t="s">
        <v>338</v>
      </c>
      <c r="E11" s="4" t="s">
        <v>1136</v>
      </c>
      <c r="F11" s="4" t="s">
        <v>1137</v>
      </c>
      <c r="G11" s="10" t="s">
        <v>1106</v>
      </c>
    </row>
    <row r="12" customFormat="false" ht="15" hidden="false" customHeight="false" outlineLevel="0" collapsed="false">
      <c r="A12" s="10" t="s">
        <v>1138</v>
      </c>
      <c r="B12" s="10" t="s">
        <v>1139</v>
      </c>
      <c r="C12" s="4" t="s">
        <v>1140</v>
      </c>
      <c r="D12" s="12" t="s">
        <v>338</v>
      </c>
      <c r="E12" s="4" t="s">
        <v>1141</v>
      </c>
      <c r="F12" s="4" t="s">
        <v>1142</v>
      </c>
      <c r="G12" s="10" t="s">
        <v>1106</v>
      </c>
    </row>
    <row r="13" customFormat="false" ht="23.85" hidden="false" customHeight="false" outlineLevel="0" collapsed="false">
      <c r="A13" s="10" t="s">
        <v>1143</v>
      </c>
      <c r="B13" s="10" t="s">
        <v>1139</v>
      </c>
      <c r="C13" s="4" t="s">
        <v>1144</v>
      </c>
      <c r="D13" s="10" t="s">
        <v>343</v>
      </c>
      <c r="E13" s="4" t="s">
        <v>1145</v>
      </c>
      <c r="F13" s="4" t="s">
        <v>1146</v>
      </c>
      <c r="G13" s="10" t="s">
        <v>1106</v>
      </c>
    </row>
    <row r="14" customFormat="false" ht="23.85" hidden="false" customHeight="false" outlineLevel="0" collapsed="false">
      <c r="A14" s="10" t="s">
        <v>1147</v>
      </c>
      <c r="B14" s="10" t="s">
        <v>1139</v>
      </c>
      <c r="C14" s="4" t="s">
        <v>1148</v>
      </c>
      <c r="D14" s="12" t="s">
        <v>338</v>
      </c>
      <c r="E14" s="4" t="s">
        <v>1149</v>
      </c>
      <c r="F14" s="4" t="s">
        <v>1150</v>
      </c>
      <c r="G14" s="10" t="s">
        <v>1106</v>
      </c>
    </row>
    <row r="15" customFormat="false" ht="15" hidden="false" customHeight="false" outlineLevel="0" collapsed="false">
      <c r="A15" s="10" t="s">
        <v>1151</v>
      </c>
      <c r="B15" s="10" t="s">
        <v>1139</v>
      </c>
      <c r="C15" s="4" t="s">
        <v>1152</v>
      </c>
      <c r="D15" s="12" t="s">
        <v>338</v>
      </c>
      <c r="E15" s="4" t="s">
        <v>1153</v>
      </c>
      <c r="F15" s="4" t="s">
        <v>1154</v>
      </c>
      <c r="G15" s="10" t="s">
        <v>1106</v>
      </c>
    </row>
    <row r="16" customFormat="false" ht="23.85" hidden="false" customHeight="false" outlineLevel="0" collapsed="false">
      <c r="A16" s="10" t="s">
        <v>1155</v>
      </c>
      <c r="B16" s="10" t="s">
        <v>1139</v>
      </c>
      <c r="C16" s="4" t="s">
        <v>1156</v>
      </c>
      <c r="D16" s="12" t="s">
        <v>338</v>
      </c>
      <c r="E16" s="4" t="s">
        <v>1157</v>
      </c>
      <c r="F16" s="4" t="s">
        <v>1158</v>
      </c>
      <c r="G16" s="10" t="s">
        <v>1106</v>
      </c>
    </row>
    <row r="17" customFormat="false" ht="15" hidden="false" customHeight="false" outlineLevel="0" collapsed="false">
      <c r="A17" s="10" t="s">
        <v>1159</v>
      </c>
      <c r="B17" s="10" t="s">
        <v>1139</v>
      </c>
      <c r="C17" s="4" t="s">
        <v>1160</v>
      </c>
      <c r="D17" s="10" t="s">
        <v>343</v>
      </c>
      <c r="E17" s="4" t="s">
        <v>1161</v>
      </c>
      <c r="F17" s="4" t="s">
        <v>1162</v>
      </c>
      <c r="G17" s="10" t="s">
        <v>1106</v>
      </c>
    </row>
    <row r="18" customFormat="false" ht="15" hidden="false" customHeight="false" outlineLevel="0" collapsed="false">
      <c r="A18" s="10" t="s">
        <v>1163</v>
      </c>
      <c r="B18" s="10" t="s">
        <v>1139</v>
      </c>
      <c r="C18" s="4" t="s">
        <v>1164</v>
      </c>
      <c r="D18" s="10" t="s">
        <v>343</v>
      </c>
      <c r="E18" s="4" t="s">
        <v>1165</v>
      </c>
      <c r="F18" s="4" t="s">
        <v>1166</v>
      </c>
      <c r="G18" s="10" t="s">
        <v>1106</v>
      </c>
    </row>
    <row r="19" customFormat="false" ht="23.85" hidden="false" customHeight="false" outlineLevel="0" collapsed="false">
      <c r="A19" s="10" t="s">
        <v>1167</v>
      </c>
      <c r="B19" s="10" t="s">
        <v>1168</v>
      </c>
      <c r="C19" s="4" t="s">
        <v>1169</v>
      </c>
      <c r="D19" s="10" t="s">
        <v>343</v>
      </c>
      <c r="E19" s="4" t="s">
        <v>1170</v>
      </c>
      <c r="F19" s="4" t="s">
        <v>1171</v>
      </c>
      <c r="G19" s="10" t="s">
        <v>1106</v>
      </c>
    </row>
    <row r="20" customFormat="false" ht="23.85" hidden="false" customHeight="false" outlineLevel="0" collapsed="false">
      <c r="A20" s="10" t="s">
        <v>1172</v>
      </c>
      <c r="B20" s="10" t="s">
        <v>133</v>
      </c>
      <c r="C20" s="4" t="s">
        <v>1173</v>
      </c>
      <c r="D20" s="12" t="s">
        <v>338</v>
      </c>
      <c r="E20" s="4" t="s">
        <v>1174</v>
      </c>
      <c r="F20" s="4" t="s">
        <v>1175</v>
      </c>
      <c r="G20" s="10" t="s">
        <v>1106</v>
      </c>
    </row>
    <row r="21" customFormat="false" ht="15" hidden="false" customHeight="false" outlineLevel="0" collapsed="false">
      <c r="A21" s="10" t="s">
        <v>1176</v>
      </c>
      <c r="B21" s="10" t="s">
        <v>133</v>
      </c>
      <c r="C21" s="4" t="s">
        <v>1177</v>
      </c>
      <c r="D21" s="12" t="s">
        <v>338</v>
      </c>
      <c r="E21" s="4" t="s">
        <v>1178</v>
      </c>
      <c r="F21" s="4" t="s">
        <v>1179</v>
      </c>
      <c r="G21" s="10" t="s">
        <v>1106</v>
      </c>
    </row>
    <row r="22" customFormat="false" ht="23.85" hidden="false" customHeight="false" outlineLevel="0" collapsed="false">
      <c r="A22" s="10" t="s">
        <v>1180</v>
      </c>
      <c r="B22" s="10" t="s">
        <v>133</v>
      </c>
      <c r="C22" s="4" t="s">
        <v>1181</v>
      </c>
      <c r="D22" s="12" t="s">
        <v>338</v>
      </c>
      <c r="E22" s="4" t="s">
        <v>1182</v>
      </c>
      <c r="F22" s="4" t="s">
        <v>1183</v>
      </c>
      <c r="G22" s="10" t="s">
        <v>1106</v>
      </c>
    </row>
    <row r="23" customFormat="false" ht="35.05" hidden="false" customHeight="false" outlineLevel="0" collapsed="false">
      <c r="A23" s="10" t="s">
        <v>1184</v>
      </c>
      <c r="B23" s="10" t="s">
        <v>349</v>
      </c>
      <c r="C23" s="4" t="s">
        <v>1185</v>
      </c>
      <c r="D23" s="12" t="s">
        <v>338</v>
      </c>
      <c r="E23" s="4" t="s">
        <v>1186</v>
      </c>
      <c r="F23" s="4" t="s">
        <v>1187</v>
      </c>
      <c r="G23" s="10" t="s">
        <v>1106</v>
      </c>
    </row>
    <row r="24" customFormat="false" ht="23.85" hidden="false" customHeight="false" outlineLevel="0" collapsed="false">
      <c r="A24" s="10" t="s">
        <v>1188</v>
      </c>
      <c r="B24" s="10" t="s">
        <v>1189</v>
      </c>
      <c r="C24" s="4" t="s">
        <v>1190</v>
      </c>
      <c r="D24" s="12" t="s">
        <v>338</v>
      </c>
      <c r="E24" s="4" t="s">
        <v>1191</v>
      </c>
      <c r="F24" s="4" t="s">
        <v>1192</v>
      </c>
      <c r="G24" s="10" t="s">
        <v>1106</v>
      </c>
    </row>
    <row r="25" customFormat="false" ht="15" hidden="false" customHeight="false" outlineLevel="0" collapsed="false">
      <c r="A25" s="10" t="s">
        <v>1193</v>
      </c>
      <c r="B25" s="10" t="s">
        <v>1194</v>
      </c>
      <c r="C25" s="4" t="s">
        <v>1195</v>
      </c>
      <c r="D25" s="10" t="s">
        <v>343</v>
      </c>
      <c r="E25" s="4" t="s">
        <v>1196</v>
      </c>
      <c r="F25" s="4" t="s">
        <v>1197</v>
      </c>
      <c r="G25" s="10" t="s">
        <v>1106</v>
      </c>
    </row>
    <row r="26" customFormat="false" ht="15" hidden="false" customHeight="false" outlineLevel="0" collapsed="false">
      <c r="A26" s="10" t="s">
        <v>1198</v>
      </c>
      <c r="B26" s="10" t="s">
        <v>1199</v>
      </c>
      <c r="C26" s="4" t="s">
        <v>1200</v>
      </c>
      <c r="D26" s="10" t="s">
        <v>343</v>
      </c>
      <c r="E26" s="4" t="s">
        <v>1201</v>
      </c>
      <c r="F26" s="4" t="s">
        <v>1202</v>
      </c>
      <c r="G26" s="10" t="s">
        <v>1106</v>
      </c>
    </row>
    <row r="27" customFormat="false" ht="15" hidden="false" customHeight="false" outlineLevel="0" collapsed="false">
      <c r="A27" s="10" t="s">
        <v>1203</v>
      </c>
      <c r="B27" s="10" t="s">
        <v>1204</v>
      </c>
      <c r="C27" s="4" t="s">
        <v>1205</v>
      </c>
      <c r="D27" s="12" t="s">
        <v>338</v>
      </c>
      <c r="E27" s="4" t="s">
        <v>1206</v>
      </c>
      <c r="F27" s="4" t="s">
        <v>1207</v>
      </c>
      <c r="G27" s="10" t="s">
        <v>1106</v>
      </c>
    </row>
    <row r="28" customFormat="false" ht="23.85" hidden="false" customHeight="false" outlineLevel="0" collapsed="false">
      <c r="A28" s="10" t="s">
        <v>1208</v>
      </c>
      <c r="B28" s="10" t="s">
        <v>167</v>
      </c>
      <c r="C28" s="4" t="s">
        <v>1209</v>
      </c>
      <c r="D28" s="12" t="s">
        <v>338</v>
      </c>
      <c r="E28" s="4" t="s">
        <v>1210</v>
      </c>
      <c r="F28" s="4" t="s">
        <v>1211</v>
      </c>
      <c r="G28" s="10" t="s">
        <v>1106</v>
      </c>
    </row>
    <row r="29" customFormat="false" ht="15" hidden="false" customHeight="false" outlineLevel="0" collapsed="false">
      <c r="A29" s="10" t="s">
        <v>1212</v>
      </c>
      <c r="B29" s="10" t="s">
        <v>167</v>
      </c>
      <c r="C29" s="4" t="s">
        <v>1213</v>
      </c>
      <c r="D29" s="12" t="s">
        <v>338</v>
      </c>
      <c r="E29" s="4" t="s">
        <v>1214</v>
      </c>
      <c r="F29" s="4" t="s">
        <v>1215</v>
      </c>
      <c r="G29" s="10" t="s">
        <v>1106</v>
      </c>
    </row>
    <row r="30" customFormat="false" ht="15" hidden="false" customHeight="false" outlineLevel="0" collapsed="false">
      <c r="A30" s="10" t="s">
        <v>1216</v>
      </c>
      <c r="B30" s="10" t="s">
        <v>1217</v>
      </c>
      <c r="C30" s="4" t="s">
        <v>1218</v>
      </c>
      <c r="D30" s="12" t="s">
        <v>338</v>
      </c>
      <c r="E30" s="4" t="s">
        <v>1219</v>
      </c>
      <c r="F30" s="4" t="s">
        <v>1220</v>
      </c>
      <c r="G30" s="10" t="s">
        <v>1106</v>
      </c>
    </row>
    <row r="31" customFormat="false" ht="23.85" hidden="false" customHeight="false" outlineLevel="0" collapsed="false">
      <c r="A31" s="10" t="s">
        <v>1221</v>
      </c>
      <c r="B31" s="10" t="s">
        <v>1222</v>
      </c>
      <c r="C31" s="4" t="s">
        <v>1223</v>
      </c>
      <c r="D31" s="12" t="s">
        <v>338</v>
      </c>
      <c r="E31" s="4" t="s">
        <v>1224</v>
      </c>
      <c r="F31" s="4" t="s">
        <v>1225</v>
      </c>
      <c r="G31" s="10" t="s">
        <v>1106</v>
      </c>
    </row>
  </sheetData>
  <autoFilter ref="A3:G3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4"/>
    <col collapsed="false" customWidth="true" hidden="false" outlineLevel="0" max="3" min="3" style="0" width="62"/>
    <col collapsed="false" customWidth="true" hidden="false" outlineLevel="0" max="4" min="4" style="0" width="56"/>
    <col collapsed="false" customWidth="true" hidden="false" outlineLevel="0" max="5" min="5" style="0" width="62"/>
  </cols>
  <sheetData>
    <row r="1" customFormat="false" ht="17.35" hidden="false" customHeight="false" outlineLevel="0" collapsed="false">
      <c r="A1" s="1" t="s">
        <v>1226</v>
      </c>
    </row>
    <row r="2" customFormat="false" ht="15" hidden="false" customHeight="false" outlineLevel="0" collapsed="false">
      <c r="A2" s="2" t="s">
        <v>1227</v>
      </c>
    </row>
    <row r="3" customFormat="false" ht="30" hidden="false" customHeight="true" outlineLevel="0" collapsed="false">
      <c r="A3" s="3" t="s">
        <v>1228</v>
      </c>
      <c r="B3" s="3" t="s">
        <v>1229</v>
      </c>
      <c r="C3" s="3" t="s">
        <v>1230</v>
      </c>
      <c r="D3" s="3" t="s">
        <v>1231</v>
      </c>
      <c r="E3" s="3" t="s">
        <v>1232</v>
      </c>
    </row>
    <row r="4" customFormat="false" ht="23.85" hidden="false" customHeight="false" outlineLevel="0" collapsed="false">
      <c r="A4" s="10" t="s">
        <v>1233</v>
      </c>
      <c r="B4" s="10" t="s">
        <v>1234</v>
      </c>
      <c r="C4" s="4" t="s">
        <v>1235</v>
      </c>
      <c r="D4" s="4" t="s">
        <v>1236</v>
      </c>
      <c r="E4" s="4" t="s">
        <v>1237</v>
      </c>
    </row>
    <row r="5" customFormat="false" ht="15" hidden="false" customHeight="false" outlineLevel="0" collapsed="false">
      <c r="A5" s="10" t="s">
        <v>1238</v>
      </c>
      <c r="B5" s="10" t="s">
        <v>315</v>
      </c>
      <c r="C5" s="4" t="s">
        <v>1239</v>
      </c>
      <c r="D5" s="4" t="s">
        <v>1240</v>
      </c>
      <c r="E5" s="4" t="s">
        <v>1241</v>
      </c>
    </row>
    <row r="6" customFormat="false" ht="15" hidden="false" customHeight="false" outlineLevel="0" collapsed="false">
      <c r="A6" s="10" t="s">
        <v>1242</v>
      </c>
      <c r="B6" s="10" t="s">
        <v>1243</v>
      </c>
      <c r="C6" s="4" t="s">
        <v>1244</v>
      </c>
      <c r="D6" s="4" t="s">
        <v>1245</v>
      </c>
      <c r="E6" s="4" t="s">
        <v>1246</v>
      </c>
    </row>
    <row r="7" customFormat="false" ht="23.85" hidden="false" customHeight="false" outlineLevel="0" collapsed="false">
      <c r="A7" s="10" t="s">
        <v>337</v>
      </c>
      <c r="B7" s="10" t="s">
        <v>1247</v>
      </c>
      <c r="C7" s="4" t="s">
        <v>1248</v>
      </c>
      <c r="D7" s="4" t="s">
        <v>1249</v>
      </c>
      <c r="E7" s="4" t="s">
        <v>1250</v>
      </c>
    </row>
    <row r="8" customFormat="false" ht="15" hidden="false" customHeight="false" outlineLevel="0" collapsed="false">
      <c r="A8" s="10" t="s">
        <v>1251</v>
      </c>
      <c r="B8" s="10" t="s">
        <v>1252</v>
      </c>
      <c r="C8" s="4" t="s">
        <v>1253</v>
      </c>
      <c r="D8" s="4" t="s">
        <v>1254</v>
      </c>
      <c r="E8" s="4" t="s">
        <v>1255</v>
      </c>
    </row>
    <row r="9" customFormat="false" ht="15" hidden="false" customHeight="false" outlineLevel="0" collapsed="false">
      <c r="A9" s="10" t="s">
        <v>755</v>
      </c>
      <c r="B9" s="10" t="s">
        <v>1256</v>
      </c>
      <c r="C9" s="4" t="s">
        <v>1257</v>
      </c>
      <c r="D9" s="4" t="s">
        <v>1258</v>
      </c>
      <c r="E9" s="4" t="s">
        <v>1259</v>
      </c>
    </row>
    <row r="10" customFormat="false" ht="15" hidden="false" customHeight="false" outlineLevel="0" collapsed="false">
      <c r="A10" s="10" t="s">
        <v>1260</v>
      </c>
      <c r="B10" s="10" t="s">
        <v>1261</v>
      </c>
      <c r="C10" s="4" t="s">
        <v>1262</v>
      </c>
      <c r="D10" s="4" t="s">
        <v>1263</v>
      </c>
      <c r="E10" s="4" t="s">
        <v>1264</v>
      </c>
    </row>
    <row r="11" customFormat="false" ht="23.85" hidden="false" customHeight="false" outlineLevel="0" collapsed="false">
      <c r="A11" s="10" t="s">
        <v>1265</v>
      </c>
      <c r="B11" s="10" t="s">
        <v>1266</v>
      </c>
      <c r="C11" s="4" t="s">
        <v>1267</v>
      </c>
      <c r="D11" s="4" t="s">
        <v>1268</v>
      </c>
      <c r="E11" s="4" t="s">
        <v>1269</v>
      </c>
    </row>
    <row r="12" customFormat="false" ht="23.85" hidden="false" customHeight="false" outlineLevel="0" collapsed="false">
      <c r="A12" s="10" t="s">
        <v>1270</v>
      </c>
      <c r="B12" s="10" t="s">
        <v>1271</v>
      </c>
      <c r="C12" s="4" t="s">
        <v>1272</v>
      </c>
      <c r="D12" s="4" t="s">
        <v>1273</v>
      </c>
      <c r="E12" s="4" t="s">
        <v>1274</v>
      </c>
    </row>
    <row r="13" customFormat="false" ht="23.85" hidden="false" customHeight="false" outlineLevel="0" collapsed="false">
      <c r="A13" s="13" t="s">
        <v>1275</v>
      </c>
      <c r="B13" s="13" t="s">
        <v>1276</v>
      </c>
      <c r="C13" s="29" t="s">
        <v>685</v>
      </c>
      <c r="D13" s="29" t="s">
        <v>685</v>
      </c>
      <c r="E13" s="29" t="s">
        <v>1277</v>
      </c>
    </row>
  </sheetData>
  <autoFilter ref="A3:E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2"/>
    <col collapsed="false" customWidth="true" hidden="false" outlineLevel="0" max="3" min="3" style="0" width="34"/>
    <col collapsed="false" customWidth="true" hidden="false" outlineLevel="0" max="4" min="4" style="0" width="56"/>
    <col collapsed="false" customWidth="true" hidden="false" outlineLevel="0" max="5" min="5" style="0" width="14"/>
    <col collapsed="false" customWidth="true" hidden="false" outlineLevel="0" max="6" min="6" style="0" width="10"/>
  </cols>
  <sheetData>
    <row r="1" customFormat="false" ht="17.35" hidden="false" customHeight="false" outlineLevel="0" collapsed="false">
      <c r="A1" s="1" t="s">
        <v>1278</v>
      </c>
    </row>
    <row r="2" customFormat="false" ht="15" hidden="false" customHeight="false" outlineLevel="0" collapsed="false">
      <c r="A2" s="2" t="s">
        <v>1279</v>
      </c>
    </row>
    <row r="3" customFormat="false" ht="30" hidden="false" customHeight="true" outlineLevel="0" collapsed="false">
      <c r="A3" s="3" t="s">
        <v>2</v>
      </c>
      <c r="B3" s="3" t="s">
        <v>1280</v>
      </c>
      <c r="C3" s="3" t="s">
        <v>1281</v>
      </c>
      <c r="D3" s="3" t="s">
        <v>64</v>
      </c>
      <c r="E3" s="3" t="s">
        <v>63</v>
      </c>
      <c r="F3" s="3" t="s">
        <v>333</v>
      </c>
    </row>
    <row r="4" customFormat="false" ht="23.85" hidden="false" customHeight="false" outlineLevel="0" collapsed="false">
      <c r="A4" s="4" t="s">
        <v>1282</v>
      </c>
      <c r="B4" s="4" t="s">
        <v>1283</v>
      </c>
      <c r="C4" s="4" t="s">
        <v>1284</v>
      </c>
      <c r="D4" s="4" t="s">
        <v>1285</v>
      </c>
      <c r="E4" s="10" t="s">
        <v>78</v>
      </c>
      <c r="F4" s="10" t="s">
        <v>338</v>
      </c>
    </row>
    <row r="5" customFormat="false" ht="15" hidden="false" customHeight="false" outlineLevel="0" collapsed="false">
      <c r="A5" s="4" t="s">
        <v>1286</v>
      </c>
      <c r="B5" s="4" t="s">
        <v>1287</v>
      </c>
      <c r="C5" s="4" t="s">
        <v>1288</v>
      </c>
      <c r="D5" s="4" t="s">
        <v>1289</v>
      </c>
      <c r="E5" s="10" t="s">
        <v>78</v>
      </c>
      <c r="F5" s="10" t="s">
        <v>338</v>
      </c>
    </row>
    <row r="6" customFormat="false" ht="23.85" hidden="false" customHeight="false" outlineLevel="0" collapsed="false">
      <c r="A6" s="4" t="s">
        <v>1290</v>
      </c>
      <c r="B6" s="4" t="s">
        <v>1291</v>
      </c>
      <c r="C6" s="4" t="s">
        <v>374</v>
      </c>
      <c r="D6" s="4" t="s">
        <v>1292</v>
      </c>
      <c r="E6" s="10" t="s">
        <v>71</v>
      </c>
      <c r="F6" s="10" t="s">
        <v>338</v>
      </c>
    </row>
    <row r="7" customFormat="false" ht="23.85" hidden="false" customHeight="false" outlineLevel="0" collapsed="false">
      <c r="A7" s="4" t="s">
        <v>1293</v>
      </c>
      <c r="B7" s="4" t="s">
        <v>1294</v>
      </c>
      <c r="C7" s="4" t="s">
        <v>245</v>
      </c>
      <c r="D7" s="4" t="s">
        <v>1295</v>
      </c>
      <c r="E7" s="10" t="s">
        <v>78</v>
      </c>
      <c r="F7" s="10" t="s">
        <v>338</v>
      </c>
    </row>
    <row r="8" customFormat="false" ht="15" hidden="false" customHeight="false" outlineLevel="0" collapsed="false">
      <c r="A8" s="4" t="s">
        <v>1296</v>
      </c>
      <c r="B8" s="4" t="s">
        <v>1297</v>
      </c>
      <c r="C8" s="4" t="s">
        <v>202</v>
      </c>
      <c r="D8" s="4" t="s">
        <v>1298</v>
      </c>
      <c r="E8" s="10" t="s">
        <v>78</v>
      </c>
      <c r="F8" s="10" t="s">
        <v>338</v>
      </c>
    </row>
    <row r="9" customFormat="false" ht="23.85" hidden="false" customHeight="false" outlineLevel="0" collapsed="false">
      <c r="A9" s="4" t="s">
        <v>1299</v>
      </c>
      <c r="B9" s="4" t="s">
        <v>1300</v>
      </c>
      <c r="C9" s="4" t="s">
        <v>1301</v>
      </c>
      <c r="D9" s="4" t="s">
        <v>1302</v>
      </c>
      <c r="E9" s="10" t="s">
        <v>71</v>
      </c>
      <c r="F9" s="10" t="s">
        <v>338</v>
      </c>
    </row>
    <row r="10" customFormat="false" ht="15" hidden="false" customHeight="false" outlineLevel="0" collapsed="false">
      <c r="A10" s="4" t="s">
        <v>1303</v>
      </c>
      <c r="B10" s="4" t="s">
        <v>1304</v>
      </c>
      <c r="C10" s="4" t="s">
        <v>245</v>
      </c>
      <c r="D10" s="4" t="s">
        <v>1305</v>
      </c>
      <c r="E10" s="10" t="s">
        <v>78</v>
      </c>
      <c r="F10" s="10" t="s">
        <v>343</v>
      </c>
    </row>
    <row r="11" customFormat="false" ht="15" hidden="false" customHeight="false" outlineLevel="0" collapsed="false">
      <c r="A11" s="4" t="s">
        <v>1306</v>
      </c>
      <c r="B11" s="4" t="s">
        <v>1307</v>
      </c>
      <c r="C11" s="4" t="s">
        <v>359</v>
      </c>
      <c r="D11" s="4" t="s">
        <v>1308</v>
      </c>
      <c r="E11" s="10" t="s">
        <v>78</v>
      </c>
      <c r="F11" s="10" t="s">
        <v>343</v>
      </c>
    </row>
    <row r="12" customFormat="false" ht="15" hidden="false" customHeight="false" outlineLevel="0" collapsed="false">
      <c r="A12" s="4" t="s">
        <v>1309</v>
      </c>
      <c r="B12" s="4" t="s">
        <v>1310</v>
      </c>
      <c r="C12" s="4" t="s">
        <v>359</v>
      </c>
      <c r="D12" s="4" t="s">
        <v>1311</v>
      </c>
      <c r="E12" s="10" t="s">
        <v>78</v>
      </c>
      <c r="F12" s="10" t="s">
        <v>343</v>
      </c>
    </row>
    <row r="13" customFormat="false" ht="15" hidden="false" customHeight="false" outlineLevel="0" collapsed="false">
      <c r="A13" s="4" t="s">
        <v>1312</v>
      </c>
      <c r="B13" s="4" t="s">
        <v>1313</v>
      </c>
      <c r="C13" s="4" t="s">
        <v>359</v>
      </c>
      <c r="D13" s="4" t="s">
        <v>1314</v>
      </c>
      <c r="E13" s="10" t="s">
        <v>1315</v>
      </c>
      <c r="F13" s="10" t="s">
        <v>343</v>
      </c>
    </row>
    <row r="14" customFormat="false" ht="15" hidden="false" customHeight="false" outlineLevel="0" collapsed="false">
      <c r="A14" s="4" t="s">
        <v>1316</v>
      </c>
      <c r="B14" s="4" t="s">
        <v>1317</v>
      </c>
      <c r="C14" s="4" t="s">
        <v>359</v>
      </c>
      <c r="D14" s="4" t="s">
        <v>1318</v>
      </c>
      <c r="E14" s="10" t="s">
        <v>78</v>
      </c>
      <c r="F14" s="10" t="s">
        <v>343</v>
      </c>
    </row>
    <row r="15" customFormat="false" ht="23.85" hidden="false" customHeight="false" outlineLevel="0" collapsed="false">
      <c r="A15" s="4" t="s">
        <v>1319</v>
      </c>
      <c r="B15" s="4" t="s">
        <v>1320</v>
      </c>
      <c r="C15" s="4" t="s">
        <v>359</v>
      </c>
      <c r="D15" s="4" t="s">
        <v>1321</v>
      </c>
      <c r="E15" s="10" t="s">
        <v>78</v>
      </c>
      <c r="F15" s="10" t="s">
        <v>343</v>
      </c>
    </row>
    <row r="16" customFormat="false" ht="15" hidden="false" customHeight="false" outlineLevel="0" collapsed="false">
      <c r="A16" s="4" t="s">
        <v>1322</v>
      </c>
      <c r="B16" s="4" t="s">
        <v>1323</v>
      </c>
      <c r="C16" s="4" t="s">
        <v>245</v>
      </c>
      <c r="D16" s="4" t="s">
        <v>1324</v>
      </c>
      <c r="E16" s="10" t="s">
        <v>98</v>
      </c>
      <c r="F16" s="10" t="s">
        <v>338</v>
      </c>
    </row>
    <row r="17" customFormat="false" ht="15" hidden="false" customHeight="false" outlineLevel="0" collapsed="false">
      <c r="A17" s="4" t="s">
        <v>1325</v>
      </c>
      <c r="B17" s="4" t="s">
        <v>1326</v>
      </c>
      <c r="C17" s="4" t="s">
        <v>359</v>
      </c>
      <c r="D17" s="4" t="s">
        <v>1327</v>
      </c>
      <c r="E17" s="10" t="s">
        <v>71</v>
      </c>
      <c r="F17" s="10" t="s">
        <v>338</v>
      </c>
    </row>
    <row r="18" customFormat="false" ht="15" hidden="false" customHeight="false" outlineLevel="0" collapsed="false">
      <c r="A18" s="4" t="s">
        <v>1328</v>
      </c>
      <c r="B18" s="4" t="s">
        <v>1329</v>
      </c>
      <c r="C18" s="4" t="s">
        <v>359</v>
      </c>
      <c r="D18" s="4" t="s">
        <v>1330</v>
      </c>
      <c r="E18" s="10" t="s">
        <v>71</v>
      </c>
      <c r="F18" s="10" t="s">
        <v>343</v>
      </c>
    </row>
    <row r="19" customFormat="false" ht="15" hidden="false" customHeight="false" outlineLevel="0" collapsed="false">
      <c r="A19" s="4" t="s">
        <v>1331</v>
      </c>
      <c r="B19" s="4" t="s">
        <v>1332</v>
      </c>
      <c r="C19" s="4" t="s">
        <v>359</v>
      </c>
      <c r="D19" s="4" t="s">
        <v>1333</v>
      </c>
      <c r="E19" s="10" t="s">
        <v>71</v>
      </c>
      <c r="F19" s="10" t="s">
        <v>343</v>
      </c>
    </row>
    <row r="20" customFormat="false" ht="15" hidden="false" customHeight="false" outlineLevel="0" collapsed="false">
      <c r="A20" s="4" t="s">
        <v>1334</v>
      </c>
      <c r="B20" s="4" t="s">
        <v>1335</v>
      </c>
      <c r="C20" s="4" t="s">
        <v>359</v>
      </c>
      <c r="D20" s="4" t="s">
        <v>1336</v>
      </c>
      <c r="E20" s="10" t="s">
        <v>78</v>
      </c>
      <c r="F20" s="10" t="s">
        <v>343</v>
      </c>
    </row>
    <row r="21" customFormat="false" ht="15" hidden="false" customHeight="false" outlineLevel="0" collapsed="false">
      <c r="A21" s="4" t="s">
        <v>1337</v>
      </c>
      <c r="B21" s="4" t="s">
        <v>1338</v>
      </c>
      <c r="C21" s="4" t="s">
        <v>359</v>
      </c>
      <c r="D21" s="4" t="s">
        <v>1339</v>
      </c>
      <c r="E21" s="10" t="s">
        <v>78</v>
      </c>
      <c r="F21" s="10" t="s">
        <v>399</v>
      </c>
    </row>
    <row r="22" customFormat="false" ht="23.85" hidden="false" customHeight="false" outlineLevel="0" collapsed="false">
      <c r="A22" s="4" t="s">
        <v>1340</v>
      </c>
      <c r="B22" s="4" t="s">
        <v>1341</v>
      </c>
      <c r="C22" s="4" t="s">
        <v>359</v>
      </c>
      <c r="D22" s="4" t="s">
        <v>1342</v>
      </c>
      <c r="E22" s="10" t="s">
        <v>71</v>
      </c>
      <c r="F22" s="10" t="s">
        <v>338</v>
      </c>
    </row>
    <row r="23" customFormat="false" ht="15" hidden="false" customHeight="false" outlineLevel="0" collapsed="false">
      <c r="A23" s="4" t="s">
        <v>1343</v>
      </c>
      <c r="B23" s="4" t="s">
        <v>1344</v>
      </c>
      <c r="C23" s="4" t="s">
        <v>1345</v>
      </c>
      <c r="D23" s="4" t="s">
        <v>1346</v>
      </c>
      <c r="E23" s="10" t="s">
        <v>78</v>
      </c>
      <c r="F23" s="10" t="s">
        <v>338</v>
      </c>
    </row>
  </sheetData>
  <autoFilter ref="A3:F2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86"/>
    <col collapsed="false" customWidth="true" hidden="false" outlineLevel="0" max="3" min="3" style="0" width="76"/>
    <col collapsed="false" customWidth="true" hidden="false" outlineLevel="0" max="4" min="4" style="0" width="24"/>
  </cols>
  <sheetData>
    <row r="1" customFormat="false" ht="17.35" hidden="false" customHeight="false" outlineLevel="0" collapsed="false">
      <c r="A1" s="1" t="s">
        <v>1347</v>
      </c>
    </row>
    <row r="2" customFormat="false" ht="15" hidden="false" customHeight="false" outlineLevel="0" collapsed="false">
      <c r="A2" s="2" t="s">
        <v>1348</v>
      </c>
    </row>
    <row r="3" customFormat="false" ht="30" hidden="false" customHeight="true" outlineLevel="0" collapsed="false">
      <c r="A3" s="3" t="s">
        <v>1349</v>
      </c>
      <c r="B3" s="3" t="s">
        <v>334</v>
      </c>
      <c r="C3" s="3" t="s">
        <v>1350</v>
      </c>
      <c r="D3" s="3" t="s">
        <v>32</v>
      </c>
    </row>
    <row r="4" customFormat="false" ht="15" hidden="false" customHeight="false" outlineLevel="0" collapsed="false">
      <c r="A4" s="10" t="s">
        <v>1351</v>
      </c>
      <c r="B4" s="4" t="s">
        <v>1352</v>
      </c>
      <c r="C4" s="4" t="s">
        <v>1353</v>
      </c>
      <c r="D4" s="10" t="s">
        <v>43</v>
      </c>
    </row>
    <row r="5" customFormat="false" ht="15" hidden="false" customHeight="false" outlineLevel="0" collapsed="false">
      <c r="A5" s="10" t="s">
        <v>1354</v>
      </c>
      <c r="B5" s="4" t="s">
        <v>1355</v>
      </c>
      <c r="C5" s="4" t="s">
        <v>1356</v>
      </c>
      <c r="D5" s="10" t="s">
        <v>43</v>
      </c>
    </row>
    <row r="6" customFormat="false" ht="23.85" hidden="false" customHeight="false" outlineLevel="0" collapsed="false">
      <c r="A6" s="10" t="s">
        <v>1357</v>
      </c>
      <c r="B6" s="4" t="s">
        <v>1358</v>
      </c>
      <c r="C6" s="4" t="s">
        <v>1359</v>
      </c>
      <c r="D6" s="10" t="s">
        <v>43</v>
      </c>
    </row>
    <row r="7" customFormat="false" ht="15" hidden="false" customHeight="false" outlineLevel="0" collapsed="false">
      <c r="A7" s="10" t="s">
        <v>1360</v>
      </c>
      <c r="B7" s="4" t="s">
        <v>1361</v>
      </c>
      <c r="C7" s="4" t="s">
        <v>1362</v>
      </c>
      <c r="D7" s="10" t="s">
        <v>43</v>
      </c>
    </row>
    <row r="8" customFormat="false" ht="23.85" hidden="false" customHeight="false" outlineLevel="0" collapsed="false">
      <c r="A8" s="10" t="s">
        <v>1363</v>
      </c>
      <c r="B8" s="4" t="s">
        <v>1364</v>
      </c>
      <c r="C8" s="4" t="s">
        <v>1365</v>
      </c>
      <c r="D8" s="10" t="s">
        <v>43</v>
      </c>
    </row>
    <row r="9" customFormat="false" ht="15" hidden="false" customHeight="false" outlineLevel="0" collapsed="false">
      <c r="A9" s="10" t="s">
        <v>1366</v>
      </c>
      <c r="B9" s="4" t="s">
        <v>1367</v>
      </c>
      <c r="C9" s="4" t="s">
        <v>1368</v>
      </c>
      <c r="D9" s="10" t="s">
        <v>38</v>
      </c>
    </row>
    <row r="10" customFormat="false" ht="23.85" hidden="false" customHeight="false" outlineLevel="0" collapsed="false">
      <c r="A10" s="10" t="s">
        <v>1369</v>
      </c>
      <c r="B10" s="4" t="s">
        <v>1370</v>
      </c>
      <c r="C10" s="4" t="s">
        <v>1371</v>
      </c>
      <c r="D10" s="10" t="s">
        <v>43</v>
      </c>
    </row>
    <row r="11" customFormat="false" ht="15" hidden="false" customHeight="false" outlineLevel="0" collapsed="false">
      <c r="A11" s="10" t="s">
        <v>1372</v>
      </c>
      <c r="B11" s="4" t="s">
        <v>1373</v>
      </c>
      <c r="C11" s="4" t="s">
        <v>1374</v>
      </c>
      <c r="D11" s="10" t="s">
        <v>43</v>
      </c>
    </row>
    <row r="12" customFormat="false" ht="15" hidden="false" customHeight="false" outlineLevel="0" collapsed="false">
      <c r="A12" s="10" t="s">
        <v>1375</v>
      </c>
      <c r="B12" s="4" t="s">
        <v>1376</v>
      </c>
      <c r="C12" s="4" t="s">
        <v>1377</v>
      </c>
      <c r="D12" s="10" t="s">
        <v>38</v>
      </c>
    </row>
    <row r="13" customFormat="false" ht="15" hidden="false" customHeight="false" outlineLevel="0" collapsed="false">
      <c r="A13" s="10" t="s">
        <v>1378</v>
      </c>
      <c r="B13" s="4" t="s">
        <v>1379</v>
      </c>
      <c r="C13" s="4" t="s">
        <v>1380</v>
      </c>
      <c r="D13" s="10" t="s">
        <v>43</v>
      </c>
    </row>
    <row r="14" customFormat="false" ht="15" hidden="false" customHeight="false" outlineLevel="0" collapsed="false">
      <c r="A14" s="10" t="s">
        <v>1381</v>
      </c>
      <c r="B14" s="4" t="s">
        <v>1382</v>
      </c>
      <c r="C14" s="4" t="s">
        <v>1383</v>
      </c>
      <c r="D14" s="10" t="s">
        <v>38</v>
      </c>
    </row>
    <row r="15" customFormat="false" ht="23.85" hidden="false" customHeight="false" outlineLevel="0" collapsed="false">
      <c r="A15" s="10" t="s">
        <v>1384</v>
      </c>
      <c r="B15" s="4" t="s">
        <v>1385</v>
      </c>
      <c r="C15" s="4" t="s">
        <v>1386</v>
      </c>
      <c r="D15" s="10" t="s">
        <v>43</v>
      </c>
    </row>
    <row r="16" customFormat="false" ht="15" hidden="false" customHeight="false" outlineLevel="0" collapsed="false">
      <c r="A16" s="10" t="s">
        <v>1387</v>
      </c>
      <c r="B16" s="4" t="s">
        <v>1388</v>
      </c>
      <c r="C16" s="4" t="s">
        <v>1389</v>
      </c>
      <c r="D16" s="10" t="s">
        <v>38</v>
      </c>
    </row>
    <row r="17" customFormat="false" ht="15" hidden="false" customHeight="false" outlineLevel="0" collapsed="false">
      <c r="A17" s="10" t="s">
        <v>1390</v>
      </c>
      <c r="B17" s="4" t="s">
        <v>1391</v>
      </c>
      <c r="C17" s="4" t="s">
        <v>1392</v>
      </c>
      <c r="D17" s="10" t="s">
        <v>38</v>
      </c>
    </row>
    <row r="18" customFormat="false" ht="15" hidden="false" customHeight="false" outlineLevel="0" collapsed="false">
      <c r="A18" s="10" t="s">
        <v>1393</v>
      </c>
      <c r="B18" s="4" t="s">
        <v>1394</v>
      </c>
      <c r="C18" s="4" t="s">
        <v>1395</v>
      </c>
      <c r="D18" s="10" t="s">
        <v>43</v>
      </c>
    </row>
    <row r="19" customFormat="false" ht="15" hidden="false" customHeight="false" outlineLevel="0" collapsed="false">
      <c r="A19" s="10" t="s">
        <v>419</v>
      </c>
      <c r="B19" s="4" t="s">
        <v>1396</v>
      </c>
      <c r="C19" s="4" t="s">
        <v>1397</v>
      </c>
      <c r="D19" s="10" t="s">
        <v>38</v>
      </c>
    </row>
  </sheetData>
  <autoFilter ref="A3:D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D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86"/>
    <col collapsed="false" customWidth="true" hidden="false" outlineLevel="0" max="3" min="3" style="0" width="46"/>
    <col collapsed="false" customWidth="true" hidden="false" outlineLevel="0" max="4" min="4" style="0" width="10"/>
  </cols>
  <sheetData>
    <row r="1" customFormat="false" ht="17.35" hidden="false" customHeight="false" outlineLevel="0" collapsed="false">
      <c r="A1" s="1" t="s">
        <v>1398</v>
      </c>
    </row>
    <row r="2" customFormat="false" ht="15" hidden="false" customHeight="false" outlineLevel="0" collapsed="false">
      <c r="A2" s="2" t="s">
        <v>1399</v>
      </c>
    </row>
    <row r="3" customFormat="false" ht="30" hidden="false" customHeight="true" outlineLevel="0" collapsed="false">
      <c r="A3" s="3" t="s">
        <v>1400</v>
      </c>
      <c r="B3" s="3" t="s">
        <v>1401</v>
      </c>
      <c r="C3" s="3" t="s">
        <v>1229</v>
      </c>
      <c r="D3" s="3" t="s">
        <v>333</v>
      </c>
    </row>
    <row r="4" customFormat="false" ht="15" hidden="false" customHeight="false" outlineLevel="0" collapsed="false">
      <c r="A4" s="10" t="s">
        <v>1402</v>
      </c>
      <c r="B4" s="4" t="s">
        <v>1403</v>
      </c>
      <c r="C4" s="4" t="s">
        <v>1404</v>
      </c>
      <c r="D4" s="10" t="s">
        <v>338</v>
      </c>
    </row>
    <row r="5" customFormat="false" ht="15" hidden="false" customHeight="false" outlineLevel="0" collapsed="false">
      <c r="A5" s="10" t="s">
        <v>1405</v>
      </c>
      <c r="B5" s="4" t="s">
        <v>1406</v>
      </c>
      <c r="C5" s="4" t="s">
        <v>321</v>
      </c>
      <c r="D5" s="10" t="s">
        <v>338</v>
      </c>
    </row>
    <row r="6" customFormat="false" ht="15" hidden="false" customHeight="false" outlineLevel="0" collapsed="false">
      <c r="A6" s="10" t="s">
        <v>1407</v>
      </c>
      <c r="B6" s="4" t="s">
        <v>1408</v>
      </c>
      <c r="C6" s="4" t="s">
        <v>321</v>
      </c>
      <c r="D6" s="10" t="s">
        <v>343</v>
      </c>
    </row>
    <row r="7" customFormat="false" ht="15" hidden="false" customHeight="false" outlineLevel="0" collapsed="false">
      <c r="A7" s="10" t="s">
        <v>1409</v>
      </c>
      <c r="B7" s="4" t="s">
        <v>1410</v>
      </c>
      <c r="C7" s="4" t="s">
        <v>321</v>
      </c>
      <c r="D7" s="10" t="s">
        <v>343</v>
      </c>
    </row>
    <row r="8" customFormat="false" ht="15" hidden="false" customHeight="false" outlineLevel="0" collapsed="false">
      <c r="A8" s="10" t="s">
        <v>1411</v>
      </c>
      <c r="B8" s="4" t="s">
        <v>1412</v>
      </c>
      <c r="C8" s="4" t="s">
        <v>1413</v>
      </c>
      <c r="D8" s="10" t="s">
        <v>338</v>
      </c>
    </row>
    <row r="9" customFormat="false" ht="15" hidden="false" customHeight="false" outlineLevel="0" collapsed="false">
      <c r="A9" s="10" t="s">
        <v>1414</v>
      </c>
      <c r="B9" s="4" t="s">
        <v>1415</v>
      </c>
      <c r="C9" s="4" t="s">
        <v>1416</v>
      </c>
      <c r="D9" s="10" t="s">
        <v>343</v>
      </c>
    </row>
    <row r="10" customFormat="false" ht="15" hidden="false" customHeight="false" outlineLevel="0" collapsed="false">
      <c r="A10" s="10" t="s">
        <v>1417</v>
      </c>
      <c r="B10" s="4" t="s">
        <v>1418</v>
      </c>
      <c r="C10" s="4" t="s">
        <v>1419</v>
      </c>
      <c r="D10" s="10" t="s">
        <v>338</v>
      </c>
    </row>
    <row r="11" customFormat="false" ht="15" hidden="false" customHeight="false" outlineLevel="0" collapsed="false">
      <c r="A11" s="10" t="s">
        <v>1420</v>
      </c>
      <c r="B11" s="4" t="s">
        <v>1421</v>
      </c>
      <c r="C11" s="4" t="s">
        <v>1419</v>
      </c>
      <c r="D11" s="10" t="s">
        <v>343</v>
      </c>
    </row>
    <row r="12" customFormat="false" ht="15" hidden="false" customHeight="false" outlineLevel="0" collapsed="false">
      <c r="A12" s="10" t="s">
        <v>1422</v>
      </c>
      <c r="B12" s="4" t="s">
        <v>1423</v>
      </c>
      <c r="C12" s="4" t="s">
        <v>1419</v>
      </c>
      <c r="D12" s="10" t="s">
        <v>343</v>
      </c>
    </row>
    <row r="13" customFormat="false" ht="15" hidden="false" customHeight="false" outlineLevel="0" collapsed="false">
      <c r="A13" s="10" t="s">
        <v>1424</v>
      </c>
      <c r="B13" s="4" t="s">
        <v>1425</v>
      </c>
      <c r="C13" s="4" t="s">
        <v>1419</v>
      </c>
      <c r="D13" s="10" t="s">
        <v>399</v>
      </c>
    </row>
    <row r="14" customFormat="false" ht="15" hidden="false" customHeight="false" outlineLevel="0" collapsed="false">
      <c r="A14" s="10" t="s">
        <v>1426</v>
      </c>
      <c r="B14" s="4" t="s">
        <v>1427</v>
      </c>
      <c r="C14" s="4" t="s">
        <v>1419</v>
      </c>
      <c r="D14" s="10" t="s">
        <v>399</v>
      </c>
    </row>
    <row r="15" customFormat="false" ht="15" hidden="false" customHeight="false" outlineLevel="0" collapsed="false">
      <c r="A15" s="10" t="s">
        <v>1428</v>
      </c>
      <c r="B15" s="4" t="s">
        <v>1429</v>
      </c>
      <c r="C15" s="4" t="s">
        <v>1430</v>
      </c>
      <c r="D15" s="10" t="s">
        <v>399</v>
      </c>
    </row>
    <row r="16" customFormat="false" ht="15" hidden="false" customHeight="false" outlineLevel="0" collapsed="false">
      <c r="A16" s="10" t="s">
        <v>1431</v>
      </c>
      <c r="B16" s="4" t="s">
        <v>1432</v>
      </c>
      <c r="C16" s="4" t="s">
        <v>1433</v>
      </c>
      <c r="D16" s="10" t="s">
        <v>338</v>
      </c>
    </row>
    <row r="17" customFormat="false" ht="15" hidden="false" customHeight="false" outlineLevel="0" collapsed="false">
      <c r="A17" s="10" t="s">
        <v>1434</v>
      </c>
      <c r="B17" s="4" t="s">
        <v>1435</v>
      </c>
      <c r="C17" s="4" t="s">
        <v>978</v>
      </c>
      <c r="D17" s="10" t="s">
        <v>338</v>
      </c>
    </row>
    <row r="18" customFormat="false" ht="15" hidden="false" customHeight="false" outlineLevel="0" collapsed="false">
      <c r="A18" s="10" t="s">
        <v>1436</v>
      </c>
      <c r="B18" s="4" t="s">
        <v>1437</v>
      </c>
      <c r="C18" s="4" t="s">
        <v>1438</v>
      </c>
      <c r="D18" s="10" t="s">
        <v>343</v>
      </c>
    </row>
    <row r="19" customFormat="false" ht="15" hidden="false" customHeight="false" outlineLevel="0" collapsed="false">
      <c r="A19" s="10" t="s">
        <v>1439</v>
      </c>
      <c r="B19" s="4" t="s">
        <v>1440</v>
      </c>
      <c r="C19" s="4" t="s">
        <v>1438</v>
      </c>
      <c r="D19" s="10" t="s">
        <v>338</v>
      </c>
    </row>
    <row r="20" customFormat="false" ht="15" hidden="false" customHeight="false" outlineLevel="0" collapsed="false">
      <c r="A20" s="10" t="s">
        <v>1441</v>
      </c>
      <c r="B20" s="4" t="s">
        <v>1442</v>
      </c>
      <c r="C20" s="4" t="s">
        <v>1443</v>
      </c>
      <c r="D20" s="10" t="s">
        <v>338</v>
      </c>
    </row>
    <row r="21" customFormat="false" ht="15" hidden="false" customHeight="false" outlineLevel="0" collapsed="false">
      <c r="A21" s="10" t="s">
        <v>1444</v>
      </c>
      <c r="B21" s="4" t="s">
        <v>1445</v>
      </c>
      <c r="C21" s="4" t="s">
        <v>1446</v>
      </c>
      <c r="D21" s="10" t="s">
        <v>338</v>
      </c>
    </row>
    <row r="22" customFormat="false" ht="15" hidden="false" customHeight="false" outlineLevel="0" collapsed="false">
      <c r="A22" s="10" t="s">
        <v>1447</v>
      </c>
      <c r="B22" s="4" t="s">
        <v>1448</v>
      </c>
      <c r="C22" s="4" t="s">
        <v>1449</v>
      </c>
      <c r="D22" s="10" t="s">
        <v>338</v>
      </c>
    </row>
    <row r="23" customFormat="false" ht="15" hidden="false" customHeight="false" outlineLevel="0" collapsed="false">
      <c r="A23" s="10" t="s">
        <v>1450</v>
      </c>
      <c r="B23" s="4" t="s">
        <v>1451</v>
      </c>
      <c r="C23" s="4" t="s">
        <v>1443</v>
      </c>
      <c r="D23" s="10" t="s">
        <v>338</v>
      </c>
    </row>
  </sheetData>
  <autoFilter ref="A3:D2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62"/>
    <col collapsed="false" customWidth="true" hidden="false" outlineLevel="0" max="3" min="3" style="0" width="12"/>
    <col collapsed="false" customWidth="true" hidden="false" outlineLevel="0" max="4" min="4" style="0" width="76"/>
    <col collapsed="false" customWidth="true" hidden="false" outlineLevel="0" max="5" min="5" style="0" width="10"/>
    <col collapsed="false" customWidth="true" hidden="false" outlineLevel="0" max="6" min="6" style="0" width="11"/>
  </cols>
  <sheetData>
    <row r="1" customFormat="false" ht="17.35" hidden="false" customHeight="false" outlineLevel="0" collapsed="false">
      <c r="A1" s="1" t="s">
        <v>1452</v>
      </c>
    </row>
    <row r="2" customFormat="false" ht="15" hidden="false" customHeight="false" outlineLevel="0" collapsed="false">
      <c r="A2" s="2" t="s">
        <v>1453</v>
      </c>
    </row>
    <row r="3" customFormat="false" ht="30" hidden="false" customHeight="true" outlineLevel="0" collapsed="false">
      <c r="A3" s="3" t="s">
        <v>1454</v>
      </c>
      <c r="B3" s="3" t="s">
        <v>1455</v>
      </c>
      <c r="C3" s="3" t="s">
        <v>1456</v>
      </c>
      <c r="D3" s="3" t="s">
        <v>1457</v>
      </c>
      <c r="E3" s="3" t="s">
        <v>332</v>
      </c>
      <c r="F3" s="3" t="s">
        <v>333</v>
      </c>
    </row>
    <row r="4" customFormat="false" ht="15" hidden="false" customHeight="false" outlineLevel="0" collapsed="false">
      <c r="A4" s="10" t="s">
        <v>1458</v>
      </c>
      <c r="B4" s="4" t="s">
        <v>1459</v>
      </c>
      <c r="C4" s="10" t="s">
        <v>118</v>
      </c>
      <c r="D4" s="4" t="s">
        <v>1460</v>
      </c>
      <c r="E4" s="10" t="s">
        <v>351</v>
      </c>
      <c r="F4" s="10" t="s">
        <v>338</v>
      </c>
    </row>
    <row r="5" customFormat="false" ht="15" hidden="false" customHeight="false" outlineLevel="0" collapsed="false">
      <c r="A5" s="10" t="s">
        <v>1461</v>
      </c>
      <c r="B5" s="4" t="s">
        <v>1462</v>
      </c>
      <c r="C5" s="10" t="s">
        <v>118</v>
      </c>
      <c r="D5" s="4" t="s">
        <v>1463</v>
      </c>
      <c r="E5" s="10" t="s">
        <v>351</v>
      </c>
      <c r="F5" s="10" t="s">
        <v>338</v>
      </c>
    </row>
    <row r="6" customFormat="false" ht="23.85" hidden="false" customHeight="false" outlineLevel="0" collapsed="false">
      <c r="A6" s="10" t="s">
        <v>1464</v>
      </c>
      <c r="B6" s="4" t="s">
        <v>1465</v>
      </c>
      <c r="C6" s="10" t="s">
        <v>118</v>
      </c>
      <c r="D6" s="4" t="s">
        <v>1466</v>
      </c>
      <c r="E6" s="10" t="s">
        <v>164</v>
      </c>
      <c r="F6" s="10" t="s">
        <v>343</v>
      </c>
    </row>
    <row r="7" customFormat="false" ht="23.85" hidden="false" customHeight="false" outlineLevel="0" collapsed="false">
      <c r="A7" s="10" t="s">
        <v>1467</v>
      </c>
      <c r="B7" s="4" t="s">
        <v>1468</v>
      </c>
      <c r="C7" s="10" t="s">
        <v>164</v>
      </c>
      <c r="D7" s="4" t="s">
        <v>1469</v>
      </c>
      <c r="E7" s="10" t="s">
        <v>351</v>
      </c>
      <c r="F7" s="10" t="s">
        <v>343</v>
      </c>
    </row>
    <row r="8" customFormat="false" ht="15" hidden="false" customHeight="false" outlineLevel="0" collapsed="false">
      <c r="A8" s="10" t="s">
        <v>1470</v>
      </c>
      <c r="B8" s="4" t="s">
        <v>1471</v>
      </c>
      <c r="C8" s="10" t="s">
        <v>164</v>
      </c>
      <c r="D8" s="4" t="s">
        <v>1472</v>
      </c>
      <c r="E8" s="10" t="s">
        <v>351</v>
      </c>
      <c r="F8" s="10" t="s">
        <v>343</v>
      </c>
    </row>
    <row r="9" customFormat="false" ht="15" hidden="false" customHeight="false" outlineLevel="0" collapsed="false">
      <c r="A9" s="10" t="s">
        <v>1473</v>
      </c>
      <c r="B9" s="4" t="s">
        <v>1474</v>
      </c>
      <c r="C9" s="10" t="s">
        <v>164</v>
      </c>
      <c r="D9" s="4" t="s">
        <v>1475</v>
      </c>
      <c r="E9" s="10" t="s">
        <v>164</v>
      </c>
      <c r="F9" s="10" t="s">
        <v>343</v>
      </c>
    </row>
    <row r="10" customFormat="false" ht="15" hidden="false" customHeight="false" outlineLevel="0" collapsed="false">
      <c r="A10" s="10" t="s">
        <v>1476</v>
      </c>
      <c r="B10" s="4" t="s">
        <v>1477</v>
      </c>
      <c r="C10" s="10" t="s">
        <v>118</v>
      </c>
      <c r="D10" s="4" t="s">
        <v>1478</v>
      </c>
      <c r="E10" s="10" t="s">
        <v>118</v>
      </c>
      <c r="F10" s="10" t="s">
        <v>399</v>
      </c>
    </row>
    <row r="11" customFormat="false" ht="15" hidden="false" customHeight="false" outlineLevel="0" collapsed="false">
      <c r="A11" s="10" t="s">
        <v>1479</v>
      </c>
      <c r="B11" s="4" t="s">
        <v>1480</v>
      </c>
      <c r="C11" s="10" t="s">
        <v>164</v>
      </c>
      <c r="D11" s="4" t="s">
        <v>1481</v>
      </c>
      <c r="E11" s="10" t="s">
        <v>118</v>
      </c>
      <c r="F11" s="10" t="s">
        <v>399</v>
      </c>
    </row>
    <row r="12" customFormat="false" ht="23.85" hidden="false" customHeight="false" outlineLevel="0" collapsed="false">
      <c r="A12" s="13" t="s">
        <v>1482</v>
      </c>
      <c r="B12" s="29" t="s">
        <v>1483</v>
      </c>
      <c r="C12" s="13" t="s">
        <v>202</v>
      </c>
      <c r="D12" s="29" t="s">
        <v>1484</v>
      </c>
      <c r="E12" s="13" t="s">
        <v>202</v>
      </c>
      <c r="F12" s="13" t="s">
        <v>1485</v>
      </c>
    </row>
  </sheetData>
  <autoFilter ref="A3:F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16"/>
    <col collapsed="false" customWidth="true" hidden="false" outlineLevel="0" max="4" min="4" style="0" width="76"/>
    <col collapsed="false" customWidth="true" hidden="false" outlineLevel="0" max="5" min="5" style="0" width="13"/>
    <col collapsed="false" customWidth="true" hidden="false" outlineLevel="0" max="6" min="6" style="0" width="30"/>
    <col collapsed="false" customWidth="true" hidden="false" outlineLevel="0" max="7" min="7" style="0" width="56"/>
  </cols>
  <sheetData>
    <row r="1" customFormat="false" ht="17.35" hidden="false" customHeight="false" outlineLevel="0" collapsed="false">
      <c r="A1" s="1" t="s">
        <v>1486</v>
      </c>
    </row>
    <row r="2" customFormat="false" ht="15" hidden="false" customHeight="false" outlineLevel="0" collapsed="false">
      <c r="A2" s="2" t="s">
        <v>1487</v>
      </c>
    </row>
    <row r="3" customFormat="false" ht="30" hidden="false" customHeight="true" outlineLevel="0" collapsed="false">
      <c r="A3" s="3" t="s">
        <v>1488</v>
      </c>
      <c r="B3" s="3" t="s">
        <v>1489</v>
      </c>
      <c r="C3" s="3" t="s">
        <v>1490</v>
      </c>
      <c r="D3" s="3" t="s">
        <v>1491</v>
      </c>
      <c r="E3" s="3" t="s">
        <v>63</v>
      </c>
      <c r="F3" s="3" t="s">
        <v>973</v>
      </c>
      <c r="G3" s="3" t="s">
        <v>1492</v>
      </c>
    </row>
    <row r="4" customFormat="false" ht="15" hidden="false" customHeight="false" outlineLevel="0" collapsed="false">
      <c r="A4" s="13" t="s">
        <v>1493</v>
      </c>
      <c r="B4" s="10" t="s">
        <v>1494</v>
      </c>
      <c r="C4" s="10" t="s">
        <v>1495</v>
      </c>
      <c r="D4" s="4" t="s">
        <v>1496</v>
      </c>
      <c r="E4" s="10" t="s">
        <v>78</v>
      </c>
      <c r="F4" s="4" t="s">
        <v>245</v>
      </c>
      <c r="G4" s="4" t="s">
        <v>1497</v>
      </c>
    </row>
    <row r="5" customFormat="false" ht="15" hidden="false" customHeight="false" outlineLevel="0" collapsed="false">
      <c r="A5" s="13" t="s">
        <v>1493</v>
      </c>
      <c r="B5" s="10" t="s">
        <v>1494</v>
      </c>
      <c r="C5" s="10" t="s">
        <v>1495</v>
      </c>
      <c r="D5" s="4" t="s">
        <v>1498</v>
      </c>
      <c r="E5" s="10" t="s">
        <v>78</v>
      </c>
      <c r="F5" s="4" t="s">
        <v>1499</v>
      </c>
      <c r="G5" s="4" t="s">
        <v>1500</v>
      </c>
    </row>
    <row r="6" customFormat="false" ht="15" hidden="false" customHeight="false" outlineLevel="0" collapsed="false">
      <c r="A6" s="13" t="s">
        <v>1493</v>
      </c>
      <c r="B6" s="10" t="s">
        <v>1494</v>
      </c>
      <c r="C6" s="10" t="s">
        <v>1495</v>
      </c>
      <c r="D6" s="4" t="s">
        <v>1501</v>
      </c>
      <c r="E6" s="10" t="s">
        <v>90</v>
      </c>
      <c r="F6" s="4" t="s">
        <v>245</v>
      </c>
      <c r="G6" s="4" t="s">
        <v>1502</v>
      </c>
    </row>
    <row r="7" customFormat="false" ht="15" hidden="false" customHeight="false" outlineLevel="0" collapsed="false">
      <c r="A7" s="13" t="s">
        <v>1493</v>
      </c>
      <c r="B7" s="10" t="s">
        <v>1494</v>
      </c>
      <c r="C7" s="10" t="s">
        <v>1495</v>
      </c>
      <c r="D7" s="4" t="s">
        <v>1503</v>
      </c>
      <c r="E7" s="10" t="s">
        <v>78</v>
      </c>
      <c r="F7" s="4" t="s">
        <v>245</v>
      </c>
      <c r="G7" s="4" t="s">
        <v>1504</v>
      </c>
    </row>
    <row r="8" customFormat="false" ht="15" hidden="false" customHeight="false" outlineLevel="0" collapsed="false">
      <c r="A8" s="10" t="s">
        <v>1505</v>
      </c>
      <c r="B8" s="10" t="s">
        <v>1506</v>
      </c>
      <c r="C8" s="10" t="s">
        <v>140</v>
      </c>
      <c r="D8" s="4" t="s">
        <v>1507</v>
      </c>
      <c r="E8" s="10" t="s">
        <v>90</v>
      </c>
      <c r="F8" s="4" t="s">
        <v>1508</v>
      </c>
      <c r="G8" s="4" t="s">
        <v>1509</v>
      </c>
    </row>
    <row r="9" customFormat="false" ht="15" hidden="false" customHeight="false" outlineLevel="0" collapsed="false">
      <c r="A9" s="10" t="s">
        <v>1505</v>
      </c>
      <c r="B9" s="10" t="s">
        <v>1506</v>
      </c>
      <c r="C9" s="10" t="s">
        <v>140</v>
      </c>
      <c r="D9" s="4" t="s">
        <v>1510</v>
      </c>
      <c r="E9" s="10" t="s">
        <v>90</v>
      </c>
      <c r="F9" s="4" t="s">
        <v>1511</v>
      </c>
      <c r="G9" s="4" t="s">
        <v>1512</v>
      </c>
    </row>
    <row r="10" customFormat="false" ht="23.85" hidden="false" customHeight="false" outlineLevel="0" collapsed="false">
      <c r="A10" s="10" t="s">
        <v>1505</v>
      </c>
      <c r="B10" s="10" t="s">
        <v>1506</v>
      </c>
      <c r="C10" s="10" t="s">
        <v>98</v>
      </c>
      <c r="D10" s="4" t="s">
        <v>1513</v>
      </c>
      <c r="E10" s="10" t="s">
        <v>98</v>
      </c>
      <c r="F10" s="4" t="s">
        <v>1514</v>
      </c>
      <c r="G10" s="4" t="s">
        <v>1515</v>
      </c>
    </row>
    <row r="11" customFormat="false" ht="15" hidden="false" customHeight="false" outlineLevel="0" collapsed="false">
      <c r="A11" s="10" t="s">
        <v>1505</v>
      </c>
      <c r="B11" s="10" t="s">
        <v>1506</v>
      </c>
      <c r="C11" s="10" t="s">
        <v>66</v>
      </c>
      <c r="D11" s="4" t="s">
        <v>1516</v>
      </c>
      <c r="E11" s="10" t="s">
        <v>71</v>
      </c>
      <c r="F11" s="4" t="s">
        <v>1517</v>
      </c>
      <c r="G11" s="4" t="s">
        <v>1518</v>
      </c>
    </row>
    <row r="12" customFormat="false" ht="15" hidden="false" customHeight="false" outlineLevel="0" collapsed="false">
      <c r="A12" s="10" t="s">
        <v>1505</v>
      </c>
      <c r="B12" s="10" t="s">
        <v>1506</v>
      </c>
      <c r="C12" s="10" t="s">
        <v>394</v>
      </c>
      <c r="D12" s="4" t="s">
        <v>1519</v>
      </c>
      <c r="E12" s="10" t="s">
        <v>71</v>
      </c>
      <c r="F12" s="4" t="s">
        <v>1520</v>
      </c>
      <c r="G12" s="4" t="s">
        <v>1521</v>
      </c>
    </row>
    <row r="13" customFormat="false" ht="15" hidden="false" customHeight="false" outlineLevel="0" collapsed="false">
      <c r="A13" s="10" t="s">
        <v>1505</v>
      </c>
      <c r="B13" s="10" t="s">
        <v>1506</v>
      </c>
      <c r="C13" s="10" t="s">
        <v>380</v>
      </c>
      <c r="D13" s="4" t="s">
        <v>1522</v>
      </c>
      <c r="E13" s="10" t="s">
        <v>90</v>
      </c>
      <c r="F13" s="4" t="s">
        <v>1523</v>
      </c>
      <c r="G13" s="4" t="s">
        <v>1524</v>
      </c>
    </row>
    <row r="14" customFormat="false" ht="15" hidden="false" customHeight="false" outlineLevel="0" collapsed="false">
      <c r="A14" s="10" t="s">
        <v>1525</v>
      </c>
      <c r="B14" s="10" t="s">
        <v>1526</v>
      </c>
      <c r="C14" s="10" t="s">
        <v>370</v>
      </c>
      <c r="D14" s="4" t="s">
        <v>1527</v>
      </c>
      <c r="E14" s="10" t="s">
        <v>78</v>
      </c>
      <c r="F14" s="4" t="s">
        <v>1528</v>
      </c>
      <c r="G14" s="4" t="s">
        <v>1529</v>
      </c>
    </row>
    <row r="15" customFormat="false" ht="15" hidden="false" customHeight="false" outlineLevel="0" collapsed="false">
      <c r="A15" s="10" t="s">
        <v>1525</v>
      </c>
      <c r="B15" s="10" t="s">
        <v>1526</v>
      </c>
      <c r="C15" s="10" t="s">
        <v>98</v>
      </c>
      <c r="D15" s="4" t="s">
        <v>1530</v>
      </c>
      <c r="E15" s="10" t="s">
        <v>98</v>
      </c>
      <c r="F15" s="4" t="s">
        <v>1531</v>
      </c>
      <c r="G15" s="4" t="s">
        <v>1532</v>
      </c>
    </row>
    <row r="16" customFormat="false" ht="15" hidden="false" customHeight="false" outlineLevel="0" collapsed="false">
      <c r="A16" s="10" t="s">
        <v>1525</v>
      </c>
      <c r="B16" s="10" t="s">
        <v>1526</v>
      </c>
      <c r="C16" s="10" t="s">
        <v>98</v>
      </c>
      <c r="D16" s="4" t="s">
        <v>1533</v>
      </c>
      <c r="E16" s="10" t="s">
        <v>98</v>
      </c>
      <c r="F16" s="4" t="s">
        <v>1534</v>
      </c>
      <c r="G16" s="4" t="s">
        <v>1535</v>
      </c>
    </row>
    <row r="17" customFormat="false" ht="15" hidden="false" customHeight="false" outlineLevel="0" collapsed="false">
      <c r="A17" s="10" t="s">
        <v>1525</v>
      </c>
      <c r="B17" s="10" t="s">
        <v>1526</v>
      </c>
      <c r="C17" s="10" t="s">
        <v>140</v>
      </c>
      <c r="D17" s="4" t="s">
        <v>1536</v>
      </c>
      <c r="E17" s="10" t="s">
        <v>90</v>
      </c>
      <c r="F17" s="4" t="s">
        <v>1537</v>
      </c>
      <c r="G17" s="4" t="s">
        <v>1538</v>
      </c>
    </row>
    <row r="18" customFormat="false" ht="15" hidden="false" customHeight="false" outlineLevel="0" collapsed="false">
      <c r="A18" s="10" t="s">
        <v>1525</v>
      </c>
      <c r="B18" s="10" t="s">
        <v>1526</v>
      </c>
      <c r="C18" s="10" t="s">
        <v>66</v>
      </c>
      <c r="D18" s="4" t="s">
        <v>1539</v>
      </c>
      <c r="E18" s="10" t="s">
        <v>78</v>
      </c>
      <c r="F18" s="4" t="s">
        <v>1540</v>
      </c>
      <c r="G18" s="4" t="s">
        <v>1541</v>
      </c>
    </row>
    <row r="19" customFormat="false" ht="15" hidden="false" customHeight="false" outlineLevel="0" collapsed="false">
      <c r="A19" s="10" t="s">
        <v>1542</v>
      </c>
      <c r="B19" s="10" t="s">
        <v>1543</v>
      </c>
      <c r="C19" s="10" t="s">
        <v>98</v>
      </c>
      <c r="D19" s="4" t="s">
        <v>1544</v>
      </c>
      <c r="E19" s="10" t="s">
        <v>98</v>
      </c>
      <c r="F19" s="4" t="s">
        <v>1545</v>
      </c>
      <c r="G19" s="4" t="s">
        <v>1546</v>
      </c>
    </row>
    <row r="20" customFormat="false" ht="15" hidden="false" customHeight="false" outlineLevel="0" collapsed="false">
      <c r="A20" s="10" t="s">
        <v>1542</v>
      </c>
      <c r="B20" s="10" t="s">
        <v>1543</v>
      </c>
      <c r="C20" s="10" t="s">
        <v>394</v>
      </c>
      <c r="D20" s="4" t="s">
        <v>1547</v>
      </c>
      <c r="E20" s="10" t="s">
        <v>71</v>
      </c>
      <c r="F20" s="4" t="s">
        <v>1548</v>
      </c>
      <c r="G20" s="4" t="s">
        <v>1549</v>
      </c>
    </row>
    <row r="21" customFormat="false" ht="15" hidden="false" customHeight="false" outlineLevel="0" collapsed="false">
      <c r="A21" s="10" t="s">
        <v>1542</v>
      </c>
      <c r="B21" s="10" t="s">
        <v>1543</v>
      </c>
      <c r="C21" s="10" t="s">
        <v>167</v>
      </c>
      <c r="D21" s="4" t="s">
        <v>1550</v>
      </c>
      <c r="E21" s="10" t="s">
        <v>137</v>
      </c>
      <c r="F21" s="4" t="s">
        <v>1551</v>
      </c>
      <c r="G21" s="4" t="s">
        <v>1552</v>
      </c>
    </row>
    <row r="22" customFormat="false" ht="15" hidden="false" customHeight="false" outlineLevel="0" collapsed="false">
      <c r="A22" s="10" t="s">
        <v>1553</v>
      </c>
      <c r="B22" s="10" t="s">
        <v>1554</v>
      </c>
      <c r="C22" s="10" t="s">
        <v>98</v>
      </c>
      <c r="D22" s="4" t="s">
        <v>1555</v>
      </c>
      <c r="E22" s="10" t="s">
        <v>98</v>
      </c>
      <c r="F22" s="4" t="s">
        <v>1556</v>
      </c>
      <c r="G22" s="4" t="s">
        <v>1557</v>
      </c>
    </row>
    <row r="23" customFormat="false" ht="15" hidden="false" customHeight="false" outlineLevel="0" collapsed="false">
      <c r="A23" s="10" t="s">
        <v>1553</v>
      </c>
      <c r="B23" s="10" t="s">
        <v>1554</v>
      </c>
      <c r="C23" s="10" t="s">
        <v>398</v>
      </c>
      <c r="D23" s="4" t="s">
        <v>1558</v>
      </c>
      <c r="E23" s="10" t="s">
        <v>137</v>
      </c>
      <c r="F23" s="4" t="s">
        <v>1559</v>
      </c>
      <c r="G23" s="4" t="s">
        <v>1560</v>
      </c>
    </row>
    <row r="24" customFormat="false" ht="15" hidden="false" customHeight="false" outlineLevel="0" collapsed="false">
      <c r="A24" s="10" t="s">
        <v>1553</v>
      </c>
      <c r="B24" s="10" t="s">
        <v>1554</v>
      </c>
      <c r="C24" s="10" t="s">
        <v>370</v>
      </c>
      <c r="D24" s="4" t="s">
        <v>1561</v>
      </c>
      <c r="E24" s="10" t="s">
        <v>78</v>
      </c>
      <c r="F24" s="4" t="s">
        <v>1562</v>
      </c>
      <c r="G24" s="4" t="s">
        <v>1563</v>
      </c>
    </row>
    <row r="25" customFormat="false" ht="15" hidden="false" customHeight="false" outlineLevel="0" collapsed="false">
      <c r="A25" s="10" t="s">
        <v>1564</v>
      </c>
      <c r="B25" s="10" t="s">
        <v>1565</v>
      </c>
      <c r="C25" s="10" t="s">
        <v>1566</v>
      </c>
      <c r="D25" s="4" t="s">
        <v>1567</v>
      </c>
      <c r="E25" s="10" t="s">
        <v>137</v>
      </c>
      <c r="F25" s="4" t="s">
        <v>1568</v>
      </c>
      <c r="G25" s="4" t="s">
        <v>1569</v>
      </c>
    </row>
    <row r="26" customFormat="false" ht="15" hidden="false" customHeight="false" outlineLevel="0" collapsed="false">
      <c r="A26" s="10" t="s">
        <v>1564</v>
      </c>
      <c r="B26" s="10" t="s">
        <v>1565</v>
      </c>
      <c r="C26" s="10" t="s">
        <v>1566</v>
      </c>
      <c r="D26" s="4" t="s">
        <v>1570</v>
      </c>
      <c r="E26" s="10" t="s">
        <v>137</v>
      </c>
      <c r="F26" s="4" t="s">
        <v>1571</v>
      </c>
      <c r="G26" s="4" t="s">
        <v>1572</v>
      </c>
    </row>
    <row r="27" customFormat="false" ht="15" hidden="false" customHeight="false" outlineLevel="0" collapsed="false">
      <c r="A27" s="10" t="s">
        <v>1564</v>
      </c>
      <c r="B27" s="10" t="s">
        <v>1565</v>
      </c>
      <c r="C27" s="10" t="s">
        <v>1573</v>
      </c>
      <c r="D27" s="4" t="s">
        <v>1574</v>
      </c>
      <c r="E27" s="10" t="s">
        <v>137</v>
      </c>
      <c r="F27" s="4" t="s">
        <v>1575</v>
      </c>
      <c r="G27" s="4" t="s">
        <v>1576</v>
      </c>
    </row>
  </sheetData>
  <autoFilter ref="A3:G2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86"/>
    <col collapsed="false" customWidth="true" hidden="false" outlineLevel="0" max="3" min="3" style="0" width="12"/>
    <col collapsed="false" customWidth="true" hidden="false" outlineLevel="0" max="4" min="4" style="0" width="86"/>
  </cols>
  <sheetData>
    <row r="1" customFormat="false" ht="17.35" hidden="false" customHeight="false" outlineLevel="0" collapsed="false">
      <c r="A1" s="1" t="s">
        <v>1577</v>
      </c>
    </row>
    <row r="2" customFormat="false" ht="15" hidden="false" customHeight="false" outlineLevel="0" collapsed="false">
      <c r="A2" s="2" t="s">
        <v>1578</v>
      </c>
    </row>
    <row r="3" customFormat="false" ht="30" hidden="false" customHeight="true" outlineLevel="0" collapsed="false">
      <c r="A3" s="3" t="s">
        <v>1579</v>
      </c>
      <c r="B3" s="3" t="s">
        <v>1580</v>
      </c>
      <c r="C3" s="3" t="s">
        <v>62</v>
      </c>
      <c r="D3" s="3" t="s">
        <v>1581</v>
      </c>
    </row>
    <row r="4" customFormat="false" ht="15" hidden="false" customHeight="false" outlineLevel="0" collapsed="false">
      <c r="A4" s="10" t="s">
        <v>1582</v>
      </c>
      <c r="B4" s="4" t="s">
        <v>1583</v>
      </c>
      <c r="C4" s="10" t="s">
        <v>118</v>
      </c>
      <c r="D4" s="4" t="s">
        <v>1584</v>
      </c>
    </row>
    <row r="5" customFormat="false" ht="15" hidden="false" customHeight="false" outlineLevel="0" collapsed="false">
      <c r="A5" s="10" t="s">
        <v>1585</v>
      </c>
      <c r="B5" s="4" t="s">
        <v>1586</v>
      </c>
      <c r="C5" s="10" t="s">
        <v>118</v>
      </c>
      <c r="D5" s="4" t="s">
        <v>1587</v>
      </c>
    </row>
    <row r="6" customFormat="false" ht="23.85" hidden="false" customHeight="false" outlineLevel="0" collapsed="false">
      <c r="A6" s="10" t="s">
        <v>1588</v>
      </c>
      <c r="B6" s="4" t="s">
        <v>1589</v>
      </c>
      <c r="C6" s="10" t="s">
        <v>97</v>
      </c>
      <c r="D6" s="4" t="s">
        <v>1590</v>
      </c>
    </row>
    <row r="7" customFormat="false" ht="23.85" hidden="false" customHeight="false" outlineLevel="0" collapsed="false">
      <c r="A7" s="10" t="s">
        <v>1591</v>
      </c>
      <c r="B7" s="4" t="s">
        <v>1592</v>
      </c>
      <c r="C7" s="10" t="s">
        <v>118</v>
      </c>
      <c r="D7" s="4" t="s">
        <v>1593</v>
      </c>
    </row>
    <row r="8" customFormat="false" ht="15" hidden="false" customHeight="false" outlineLevel="0" collapsed="false">
      <c r="A8" s="10" t="s">
        <v>1594</v>
      </c>
      <c r="B8" s="4" t="s">
        <v>1595</v>
      </c>
      <c r="C8" s="10" t="s">
        <v>118</v>
      </c>
      <c r="D8" s="4" t="s">
        <v>1596</v>
      </c>
    </row>
    <row r="9" customFormat="false" ht="15" hidden="false" customHeight="false" outlineLevel="0" collapsed="false">
      <c r="A9" s="10" t="s">
        <v>1597</v>
      </c>
      <c r="B9" s="4" t="s">
        <v>1598</v>
      </c>
      <c r="C9" s="10" t="s">
        <v>164</v>
      </c>
      <c r="D9" s="4" t="s">
        <v>1599</v>
      </c>
    </row>
    <row r="10" customFormat="false" ht="15" hidden="false" customHeight="false" outlineLevel="0" collapsed="false">
      <c r="A10" s="10" t="s">
        <v>1600</v>
      </c>
      <c r="B10" s="4" t="s">
        <v>1601</v>
      </c>
      <c r="C10" s="10" t="s">
        <v>164</v>
      </c>
      <c r="D10" s="4" t="s">
        <v>1602</v>
      </c>
    </row>
    <row r="11" customFormat="false" ht="15" hidden="false" customHeight="false" outlineLevel="0" collapsed="false">
      <c r="A11" s="10" t="s">
        <v>1603</v>
      </c>
      <c r="B11" s="4" t="s">
        <v>1604</v>
      </c>
      <c r="C11" s="10" t="s">
        <v>118</v>
      </c>
      <c r="D11" s="4" t="s">
        <v>1605</v>
      </c>
    </row>
    <row r="12" customFormat="false" ht="15" hidden="false" customHeight="false" outlineLevel="0" collapsed="false">
      <c r="A12" s="10" t="s">
        <v>1606</v>
      </c>
      <c r="B12" s="4" t="s">
        <v>1607</v>
      </c>
      <c r="C12" s="10" t="s">
        <v>164</v>
      </c>
      <c r="D12" s="4" t="s">
        <v>1608</v>
      </c>
    </row>
    <row r="13" customFormat="false" ht="15" hidden="false" customHeight="false" outlineLevel="0" collapsed="false">
      <c r="A13" s="10" t="s">
        <v>1609</v>
      </c>
      <c r="B13" s="4" t="s">
        <v>1610</v>
      </c>
      <c r="C13" s="10" t="s">
        <v>164</v>
      </c>
      <c r="D13" s="4" t="s">
        <v>1611</v>
      </c>
    </row>
  </sheetData>
  <autoFilter ref="A3:D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F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6"/>
    <col collapsed="false" customWidth="true" hidden="false" outlineLevel="0" max="3" min="3" style="0" width="76"/>
    <col collapsed="false" customWidth="true" hidden="false" outlineLevel="0" max="4" min="4" style="0" width="62"/>
    <col collapsed="false" customWidth="true" hidden="false" outlineLevel="0" max="5" min="5" style="0" width="10"/>
    <col collapsed="false" customWidth="true" hidden="false" outlineLevel="0" max="6" min="6" style="0" width="12"/>
  </cols>
  <sheetData>
    <row r="1" customFormat="false" ht="17.35" hidden="false" customHeight="false" outlineLevel="0" collapsed="false">
      <c r="A1" s="1" t="s">
        <v>1612</v>
      </c>
    </row>
    <row r="2" customFormat="false" ht="15" hidden="false" customHeight="false" outlineLevel="0" collapsed="false">
      <c r="A2" s="2" t="s">
        <v>1613</v>
      </c>
    </row>
    <row r="3" customFormat="false" ht="30" hidden="false" customHeight="true" outlineLevel="0" collapsed="false">
      <c r="A3" s="3" t="s">
        <v>58</v>
      </c>
      <c r="B3" s="3" t="s">
        <v>1454</v>
      </c>
      <c r="C3" s="3" t="s">
        <v>1614</v>
      </c>
      <c r="D3" s="3" t="s">
        <v>1615</v>
      </c>
      <c r="E3" s="3" t="s">
        <v>333</v>
      </c>
      <c r="F3" s="3" t="s">
        <v>1100</v>
      </c>
    </row>
    <row r="4" customFormat="false" ht="15" hidden="false" customHeight="false" outlineLevel="0" collapsed="false">
      <c r="A4" s="10" t="s">
        <v>1616</v>
      </c>
      <c r="B4" s="10" t="s">
        <v>1617</v>
      </c>
      <c r="C4" s="5" t="s">
        <v>1618</v>
      </c>
      <c r="D4" s="4" t="s">
        <v>1619</v>
      </c>
      <c r="E4" s="13" t="s">
        <v>338</v>
      </c>
      <c r="F4" s="10" t="s">
        <v>1620</v>
      </c>
    </row>
    <row r="5" customFormat="false" ht="15" hidden="false" customHeight="false" outlineLevel="0" collapsed="false">
      <c r="A5" s="10" t="s">
        <v>1621</v>
      </c>
      <c r="B5" s="10" t="s">
        <v>1617</v>
      </c>
      <c r="C5" s="5" t="s">
        <v>1622</v>
      </c>
      <c r="D5" s="4" t="s">
        <v>1619</v>
      </c>
      <c r="E5" s="13" t="s">
        <v>338</v>
      </c>
      <c r="F5" s="10" t="s">
        <v>1620</v>
      </c>
    </row>
    <row r="6" customFormat="false" ht="15" hidden="false" customHeight="false" outlineLevel="0" collapsed="false">
      <c r="A6" s="10" t="s">
        <v>1623</v>
      </c>
      <c r="B6" s="10" t="s">
        <v>1617</v>
      </c>
      <c r="C6" s="5" t="s">
        <v>1624</v>
      </c>
      <c r="D6" s="4" t="s">
        <v>1625</v>
      </c>
      <c r="E6" s="13" t="s">
        <v>338</v>
      </c>
      <c r="F6" s="10" t="s">
        <v>1620</v>
      </c>
    </row>
    <row r="7" customFormat="false" ht="15" hidden="false" customHeight="false" outlineLevel="0" collapsed="false">
      <c r="A7" s="10" t="s">
        <v>1626</v>
      </c>
      <c r="B7" s="10" t="s">
        <v>1617</v>
      </c>
      <c r="C7" s="5" t="s">
        <v>1627</v>
      </c>
      <c r="D7" s="4" t="s">
        <v>1628</v>
      </c>
      <c r="E7" s="13" t="s">
        <v>338</v>
      </c>
      <c r="F7" s="10" t="s">
        <v>1620</v>
      </c>
    </row>
    <row r="8" customFormat="false" ht="15" hidden="false" customHeight="false" outlineLevel="0" collapsed="false">
      <c r="A8" s="10" t="s">
        <v>1629</v>
      </c>
      <c r="B8" s="10" t="s">
        <v>683</v>
      </c>
      <c r="C8" s="5" t="s">
        <v>1630</v>
      </c>
      <c r="D8" s="4" t="s">
        <v>1631</v>
      </c>
      <c r="E8" s="13" t="s">
        <v>338</v>
      </c>
      <c r="F8" s="10" t="s">
        <v>1620</v>
      </c>
    </row>
    <row r="9" customFormat="false" ht="15" hidden="false" customHeight="false" outlineLevel="0" collapsed="false">
      <c r="A9" s="10" t="s">
        <v>1632</v>
      </c>
      <c r="B9" s="10" t="s">
        <v>683</v>
      </c>
      <c r="C9" s="5" t="s">
        <v>1633</v>
      </c>
      <c r="D9" s="4" t="s">
        <v>1634</v>
      </c>
      <c r="E9" s="13" t="s">
        <v>338</v>
      </c>
      <c r="F9" s="10" t="s">
        <v>1620</v>
      </c>
    </row>
    <row r="10" customFormat="false" ht="15" hidden="false" customHeight="false" outlineLevel="0" collapsed="false">
      <c r="A10" s="10" t="s">
        <v>1635</v>
      </c>
      <c r="B10" s="10" t="s">
        <v>683</v>
      </c>
      <c r="C10" s="5" t="s">
        <v>1636</v>
      </c>
      <c r="D10" s="4" t="s">
        <v>1637</v>
      </c>
      <c r="E10" s="13" t="s">
        <v>338</v>
      </c>
      <c r="F10" s="10" t="s">
        <v>1620</v>
      </c>
    </row>
    <row r="11" customFormat="false" ht="15" hidden="false" customHeight="false" outlineLevel="0" collapsed="false">
      <c r="A11" s="10" t="s">
        <v>1638</v>
      </c>
      <c r="B11" s="10" t="s">
        <v>683</v>
      </c>
      <c r="C11" s="5" t="s">
        <v>1639</v>
      </c>
      <c r="D11" s="4" t="s">
        <v>1640</v>
      </c>
      <c r="E11" s="10" t="s">
        <v>343</v>
      </c>
      <c r="F11" s="10" t="s">
        <v>1620</v>
      </c>
    </row>
    <row r="12" customFormat="false" ht="15" hidden="false" customHeight="false" outlineLevel="0" collapsed="false">
      <c r="A12" s="10" t="s">
        <v>1641</v>
      </c>
      <c r="B12" s="10" t="s">
        <v>370</v>
      </c>
      <c r="C12" s="5" t="s">
        <v>1642</v>
      </c>
      <c r="D12" s="4" t="s">
        <v>1643</v>
      </c>
      <c r="E12" s="13" t="s">
        <v>338</v>
      </c>
      <c r="F12" s="10" t="s">
        <v>1620</v>
      </c>
    </row>
    <row r="13" customFormat="false" ht="15" hidden="false" customHeight="false" outlineLevel="0" collapsed="false">
      <c r="A13" s="10" t="s">
        <v>1644</v>
      </c>
      <c r="B13" s="10" t="s">
        <v>370</v>
      </c>
      <c r="C13" s="5" t="s">
        <v>1645</v>
      </c>
      <c r="D13" s="4" t="s">
        <v>1646</v>
      </c>
      <c r="E13" s="13" t="s">
        <v>338</v>
      </c>
      <c r="F13" s="10" t="s">
        <v>1620</v>
      </c>
    </row>
    <row r="14" customFormat="false" ht="15" hidden="false" customHeight="false" outlineLevel="0" collapsed="false">
      <c r="A14" s="10" t="s">
        <v>1647</v>
      </c>
      <c r="B14" s="10" t="s">
        <v>370</v>
      </c>
      <c r="C14" s="5" t="s">
        <v>1648</v>
      </c>
      <c r="D14" s="4" t="s">
        <v>1649</v>
      </c>
      <c r="E14" s="13" t="s">
        <v>338</v>
      </c>
      <c r="F14" s="10" t="s">
        <v>1620</v>
      </c>
    </row>
    <row r="15" customFormat="false" ht="15" hidden="false" customHeight="false" outlineLevel="0" collapsed="false">
      <c r="A15" s="10" t="s">
        <v>1650</v>
      </c>
      <c r="B15" s="10" t="s">
        <v>753</v>
      </c>
      <c r="C15" s="5" t="s">
        <v>1651</v>
      </c>
      <c r="D15" s="4" t="s">
        <v>1652</v>
      </c>
      <c r="E15" s="13" t="s">
        <v>338</v>
      </c>
      <c r="F15" s="10" t="s">
        <v>1620</v>
      </c>
    </row>
    <row r="16" customFormat="false" ht="15" hidden="false" customHeight="false" outlineLevel="0" collapsed="false">
      <c r="A16" s="10" t="s">
        <v>1653</v>
      </c>
      <c r="B16" s="10" t="s">
        <v>753</v>
      </c>
      <c r="C16" s="5" t="s">
        <v>1654</v>
      </c>
      <c r="D16" s="4" t="s">
        <v>1655</v>
      </c>
      <c r="E16" s="10" t="s">
        <v>343</v>
      </c>
      <c r="F16" s="10" t="s">
        <v>1620</v>
      </c>
    </row>
    <row r="17" customFormat="false" ht="23.85" hidden="false" customHeight="false" outlineLevel="0" collapsed="false">
      <c r="A17" s="10" t="s">
        <v>1656</v>
      </c>
      <c r="B17" s="10" t="s">
        <v>493</v>
      </c>
      <c r="C17" s="5" t="s">
        <v>1657</v>
      </c>
      <c r="D17" s="4" t="s">
        <v>1658</v>
      </c>
      <c r="E17" s="13" t="s">
        <v>338</v>
      </c>
      <c r="F17" s="10" t="s">
        <v>1620</v>
      </c>
    </row>
    <row r="18" customFormat="false" ht="15" hidden="false" customHeight="false" outlineLevel="0" collapsed="false">
      <c r="A18" s="10" t="s">
        <v>1659</v>
      </c>
      <c r="B18" s="10" t="s">
        <v>493</v>
      </c>
      <c r="C18" s="5" t="s">
        <v>1660</v>
      </c>
      <c r="D18" s="4" t="s">
        <v>1661</v>
      </c>
      <c r="E18" s="13" t="s">
        <v>338</v>
      </c>
      <c r="F18" s="10" t="s">
        <v>1620</v>
      </c>
    </row>
    <row r="19" customFormat="false" ht="15" hidden="false" customHeight="false" outlineLevel="0" collapsed="false">
      <c r="A19" s="10" t="s">
        <v>1662</v>
      </c>
      <c r="B19" s="10" t="s">
        <v>493</v>
      </c>
      <c r="C19" s="5" t="s">
        <v>1663</v>
      </c>
      <c r="D19" s="4" t="s">
        <v>1664</v>
      </c>
      <c r="E19" s="10" t="s">
        <v>343</v>
      </c>
      <c r="F19" s="10" t="s">
        <v>1620</v>
      </c>
    </row>
    <row r="20" customFormat="false" ht="23.85" hidden="false" customHeight="false" outlineLevel="0" collapsed="false">
      <c r="A20" s="10" t="s">
        <v>1665</v>
      </c>
      <c r="B20" s="10" t="s">
        <v>1011</v>
      </c>
      <c r="C20" s="5" t="s">
        <v>1666</v>
      </c>
      <c r="D20" s="4" t="s">
        <v>1667</v>
      </c>
      <c r="E20" s="13" t="s">
        <v>338</v>
      </c>
      <c r="F20" s="10" t="s">
        <v>1620</v>
      </c>
    </row>
    <row r="21" customFormat="false" ht="15" hidden="false" customHeight="false" outlineLevel="0" collapsed="false">
      <c r="A21" s="10" t="s">
        <v>1668</v>
      </c>
      <c r="B21" s="10" t="s">
        <v>1669</v>
      </c>
      <c r="C21" s="5" t="s">
        <v>1670</v>
      </c>
      <c r="D21" s="4" t="s">
        <v>1671</v>
      </c>
      <c r="E21" s="10" t="s">
        <v>343</v>
      </c>
      <c r="F21" s="10" t="s">
        <v>1620</v>
      </c>
    </row>
    <row r="22" customFormat="false" ht="15" hidden="false" customHeight="false" outlineLevel="0" collapsed="false">
      <c r="A22" s="10" t="s">
        <v>1672</v>
      </c>
      <c r="B22" s="10" t="s">
        <v>768</v>
      </c>
      <c r="C22" s="5" t="s">
        <v>1673</v>
      </c>
      <c r="D22" s="4" t="s">
        <v>1674</v>
      </c>
      <c r="E22" s="10" t="s">
        <v>343</v>
      </c>
      <c r="F22" s="10" t="s">
        <v>1620</v>
      </c>
    </row>
    <row r="23" customFormat="false" ht="15" hidden="false" customHeight="false" outlineLevel="0" collapsed="false">
      <c r="A23" s="10" t="s">
        <v>1675</v>
      </c>
      <c r="B23" s="10" t="s">
        <v>768</v>
      </c>
      <c r="C23" s="5" t="s">
        <v>1676</v>
      </c>
      <c r="D23" s="4" t="s">
        <v>1677</v>
      </c>
      <c r="E23" s="10" t="s">
        <v>343</v>
      </c>
      <c r="F23" s="10" t="s">
        <v>1620</v>
      </c>
    </row>
    <row r="24" customFormat="false" ht="15" hidden="false" customHeight="false" outlineLevel="0" collapsed="false">
      <c r="A24" s="10" t="s">
        <v>1678</v>
      </c>
      <c r="B24" s="10" t="s">
        <v>768</v>
      </c>
      <c r="C24" s="5" t="s">
        <v>1679</v>
      </c>
      <c r="D24" s="4" t="s">
        <v>1680</v>
      </c>
      <c r="E24" s="10" t="s">
        <v>343</v>
      </c>
      <c r="F24" s="10" t="s">
        <v>1620</v>
      </c>
    </row>
    <row r="25" customFormat="false" ht="15" hidden="false" customHeight="false" outlineLevel="0" collapsed="false">
      <c r="A25" s="10" t="s">
        <v>1681</v>
      </c>
      <c r="B25" s="10" t="s">
        <v>768</v>
      </c>
      <c r="C25" s="5" t="s">
        <v>1682</v>
      </c>
      <c r="D25" s="4" t="s">
        <v>1683</v>
      </c>
      <c r="E25" s="13" t="s">
        <v>338</v>
      </c>
      <c r="F25" s="10" t="s">
        <v>1620</v>
      </c>
    </row>
    <row r="26" customFormat="false" ht="15" hidden="false" customHeight="false" outlineLevel="0" collapsed="false">
      <c r="A26" s="10" t="s">
        <v>1684</v>
      </c>
      <c r="B26" s="10" t="s">
        <v>394</v>
      </c>
      <c r="C26" s="5" t="s">
        <v>1685</v>
      </c>
      <c r="D26" s="4" t="s">
        <v>1686</v>
      </c>
      <c r="E26" s="13" t="s">
        <v>338</v>
      </c>
      <c r="F26" s="10" t="s">
        <v>1620</v>
      </c>
    </row>
    <row r="27" customFormat="false" ht="15" hidden="false" customHeight="false" outlineLevel="0" collapsed="false">
      <c r="A27" s="10" t="s">
        <v>1687</v>
      </c>
      <c r="B27" s="10" t="s">
        <v>98</v>
      </c>
      <c r="C27" s="5" t="s">
        <v>1688</v>
      </c>
      <c r="D27" s="4" t="s">
        <v>1689</v>
      </c>
      <c r="E27" s="10" t="s">
        <v>343</v>
      </c>
      <c r="F27" s="10" t="s">
        <v>1620</v>
      </c>
    </row>
    <row r="28" customFormat="false" ht="15" hidden="false" customHeight="false" outlineLevel="0" collapsed="false">
      <c r="A28" s="10" t="s">
        <v>1690</v>
      </c>
      <c r="B28" s="10" t="s">
        <v>1116</v>
      </c>
      <c r="C28" s="5" t="s">
        <v>1691</v>
      </c>
      <c r="D28" s="4" t="s">
        <v>1692</v>
      </c>
      <c r="E28" s="13" t="s">
        <v>338</v>
      </c>
      <c r="F28" s="10" t="s">
        <v>1620</v>
      </c>
    </row>
    <row r="31" customFormat="false" ht="15" hidden="false" customHeight="false" outlineLevel="0" collapsed="false">
      <c r="A31" s="6" t="s">
        <v>1693</v>
      </c>
      <c r="B31" s="6" t="n">
        <f aca="false">COUNTIF(F4:F28,"Open")</f>
        <v>25</v>
      </c>
    </row>
    <row r="32" customFormat="false" ht="15" hidden="false" customHeight="false" outlineLevel="0" collapsed="false">
      <c r="A32" s="6" t="s">
        <v>1694</v>
      </c>
      <c r="B32" s="6" t="n">
        <f aca="false">COUNTIFS(E4:E28,"P0",F4:F28,"Open")</f>
        <v>17</v>
      </c>
    </row>
  </sheetData>
  <autoFilter ref="A3:F2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D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96"/>
    <col collapsed="false" customWidth="true" hidden="false" outlineLevel="0" max="3" min="3" style="0" width="10"/>
    <col collapsed="false" customWidth="true" hidden="false" outlineLevel="0" max="4" min="4" style="0" width="14"/>
  </cols>
  <sheetData>
    <row r="1" customFormat="false" ht="17.35" hidden="false" customHeight="false" outlineLevel="0" collapsed="false">
      <c r="A1" s="1" t="s">
        <v>1695</v>
      </c>
    </row>
    <row r="2" customFormat="false" ht="15" hidden="false" customHeight="false" outlineLevel="0" collapsed="false">
      <c r="A2" s="2" t="s">
        <v>1696</v>
      </c>
    </row>
    <row r="3" customFormat="false" ht="30" hidden="false" customHeight="true" outlineLevel="0" collapsed="false">
      <c r="A3" s="3" t="s">
        <v>1697</v>
      </c>
      <c r="B3" s="3" t="s">
        <v>1698</v>
      </c>
      <c r="C3" s="3" t="s">
        <v>333</v>
      </c>
      <c r="D3" s="3" t="s">
        <v>1100</v>
      </c>
    </row>
    <row r="4" customFormat="false" ht="15" hidden="false" customHeight="false" outlineLevel="0" collapsed="false">
      <c r="A4" s="10" t="s">
        <v>1699</v>
      </c>
      <c r="B4" s="4" t="s">
        <v>1700</v>
      </c>
      <c r="C4" s="10" t="s">
        <v>338</v>
      </c>
      <c r="D4" s="10" t="s">
        <v>1701</v>
      </c>
    </row>
    <row r="5" customFormat="false" ht="15" hidden="false" customHeight="false" outlineLevel="0" collapsed="false">
      <c r="A5" s="10" t="s">
        <v>1699</v>
      </c>
      <c r="B5" s="4" t="s">
        <v>1702</v>
      </c>
      <c r="C5" s="10" t="s">
        <v>338</v>
      </c>
      <c r="D5" s="10" t="s">
        <v>1701</v>
      </c>
    </row>
    <row r="6" customFormat="false" ht="15" hidden="false" customHeight="false" outlineLevel="0" collapsed="false">
      <c r="A6" s="10" t="s">
        <v>1699</v>
      </c>
      <c r="B6" s="4" t="s">
        <v>1703</v>
      </c>
      <c r="C6" s="10" t="s">
        <v>338</v>
      </c>
      <c r="D6" s="10" t="s">
        <v>1701</v>
      </c>
    </row>
    <row r="7" customFormat="false" ht="15" hidden="false" customHeight="false" outlineLevel="0" collapsed="false">
      <c r="A7" s="10" t="s">
        <v>1699</v>
      </c>
      <c r="B7" s="4" t="s">
        <v>1704</v>
      </c>
      <c r="C7" s="10" t="s">
        <v>338</v>
      </c>
      <c r="D7" s="10" t="s">
        <v>1701</v>
      </c>
    </row>
    <row r="8" customFormat="false" ht="15" hidden="false" customHeight="false" outlineLevel="0" collapsed="false">
      <c r="A8" s="10" t="s">
        <v>1699</v>
      </c>
      <c r="B8" s="4" t="s">
        <v>1705</v>
      </c>
      <c r="C8" s="10" t="s">
        <v>338</v>
      </c>
      <c r="D8" s="10" t="s">
        <v>1701</v>
      </c>
    </row>
    <row r="9" customFormat="false" ht="15" hidden="false" customHeight="false" outlineLevel="0" collapsed="false">
      <c r="A9" s="10" t="s">
        <v>1699</v>
      </c>
      <c r="B9" s="4" t="s">
        <v>1706</v>
      </c>
      <c r="C9" s="10" t="s">
        <v>338</v>
      </c>
      <c r="D9" s="10" t="s">
        <v>1701</v>
      </c>
    </row>
    <row r="10" customFormat="false" ht="15" hidden="false" customHeight="false" outlineLevel="0" collapsed="false">
      <c r="A10" s="10" t="s">
        <v>1699</v>
      </c>
      <c r="B10" s="4" t="s">
        <v>1707</v>
      </c>
      <c r="C10" s="10" t="s">
        <v>338</v>
      </c>
      <c r="D10" s="10" t="s">
        <v>1701</v>
      </c>
    </row>
    <row r="11" customFormat="false" ht="15" hidden="false" customHeight="false" outlineLevel="0" collapsed="false">
      <c r="A11" s="10" t="s">
        <v>1699</v>
      </c>
      <c r="B11" s="4" t="s">
        <v>1708</v>
      </c>
      <c r="C11" s="10" t="s">
        <v>338</v>
      </c>
      <c r="D11" s="10" t="s">
        <v>1701</v>
      </c>
    </row>
    <row r="12" customFormat="false" ht="15" hidden="false" customHeight="false" outlineLevel="0" collapsed="false">
      <c r="A12" s="10" t="s">
        <v>1699</v>
      </c>
      <c r="B12" s="4" t="s">
        <v>1709</v>
      </c>
      <c r="C12" s="10" t="s">
        <v>338</v>
      </c>
      <c r="D12" s="10" t="s">
        <v>1701</v>
      </c>
    </row>
    <row r="13" customFormat="false" ht="15" hidden="false" customHeight="false" outlineLevel="0" collapsed="false">
      <c r="A13" s="10" t="s">
        <v>1699</v>
      </c>
      <c r="B13" s="4" t="s">
        <v>1710</v>
      </c>
      <c r="C13" s="10" t="s">
        <v>338</v>
      </c>
      <c r="D13" s="10" t="s">
        <v>1701</v>
      </c>
    </row>
    <row r="14" customFormat="false" ht="15" hidden="false" customHeight="false" outlineLevel="0" collapsed="false">
      <c r="A14" s="10" t="s">
        <v>1699</v>
      </c>
      <c r="B14" s="4" t="s">
        <v>1711</v>
      </c>
      <c r="C14" s="10" t="s">
        <v>338</v>
      </c>
      <c r="D14" s="10" t="s">
        <v>1701</v>
      </c>
    </row>
    <row r="15" customFormat="false" ht="15" hidden="false" customHeight="false" outlineLevel="0" collapsed="false">
      <c r="A15" s="10" t="s">
        <v>1699</v>
      </c>
      <c r="B15" s="4" t="s">
        <v>1712</v>
      </c>
      <c r="C15" s="10" t="s">
        <v>338</v>
      </c>
      <c r="D15" s="10" t="s">
        <v>1701</v>
      </c>
    </row>
    <row r="16" customFormat="false" ht="15" hidden="false" customHeight="false" outlineLevel="0" collapsed="false">
      <c r="A16" s="10" t="s">
        <v>1699</v>
      </c>
      <c r="B16" s="4" t="s">
        <v>1713</v>
      </c>
      <c r="C16" s="10" t="s">
        <v>338</v>
      </c>
      <c r="D16" s="10" t="s">
        <v>1701</v>
      </c>
    </row>
    <row r="17" customFormat="false" ht="15" hidden="false" customHeight="false" outlineLevel="0" collapsed="false">
      <c r="A17" s="10" t="s">
        <v>1699</v>
      </c>
      <c r="B17" s="4" t="s">
        <v>1714</v>
      </c>
      <c r="C17" s="10" t="s">
        <v>338</v>
      </c>
      <c r="D17" s="10" t="s">
        <v>1701</v>
      </c>
    </row>
    <row r="18" customFormat="false" ht="15" hidden="false" customHeight="false" outlineLevel="0" collapsed="false">
      <c r="A18" s="10" t="s">
        <v>1699</v>
      </c>
      <c r="B18" s="4" t="s">
        <v>1715</v>
      </c>
      <c r="C18" s="10" t="s">
        <v>338</v>
      </c>
      <c r="D18" s="10" t="s">
        <v>1701</v>
      </c>
    </row>
    <row r="19" customFormat="false" ht="15" hidden="false" customHeight="false" outlineLevel="0" collapsed="false">
      <c r="A19" s="10" t="s">
        <v>1699</v>
      </c>
      <c r="B19" s="4" t="s">
        <v>1716</v>
      </c>
      <c r="C19" s="10" t="s">
        <v>338</v>
      </c>
      <c r="D19" s="10" t="s">
        <v>1701</v>
      </c>
    </row>
    <row r="20" customFormat="false" ht="15" hidden="false" customHeight="false" outlineLevel="0" collapsed="false">
      <c r="A20" s="10" t="s">
        <v>1699</v>
      </c>
      <c r="B20" s="4" t="s">
        <v>1717</v>
      </c>
      <c r="C20" s="10" t="s">
        <v>338</v>
      </c>
      <c r="D20" s="10" t="s">
        <v>1701</v>
      </c>
    </row>
    <row r="21" customFormat="false" ht="15" hidden="false" customHeight="false" outlineLevel="0" collapsed="false">
      <c r="A21" s="10" t="s">
        <v>1699</v>
      </c>
      <c r="B21" s="4" t="s">
        <v>1718</v>
      </c>
      <c r="C21" s="10" t="s">
        <v>343</v>
      </c>
      <c r="D21" s="10" t="s">
        <v>1701</v>
      </c>
    </row>
    <row r="22" customFormat="false" ht="15" hidden="false" customHeight="false" outlineLevel="0" collapsed="false">
      <c r="A22" s="10" t="s">
        <v>1699</v>
      </c>
      <c r="B22" s="4" t="s">
        <v>1719</v>
      </c>
      <c r="C22" s="10" t="s">
        <v>338</v>
      </c>
      <c r="D22" s="10" t="s">
        <v>1701</v>
      </c>
    </row>
    <row r="23" customFormat="false" ht="15" hidden="false" customHeight="false" outlineLevel="0" collapsed="false">
      <c r="A23" s="10" t="s">
        <v>1699</v>
      </c>
      <c r="B23" s="4" t="s">
        <v>1720</v>
      </c>
      <c r="C23" s="10" t="s">
        <v>338</v>
      </c>
      <c r="D23" s="10" t="s">
        <v>1701</v>
      </c>
    </row>
    <row r="24" customFormat="false" ht="15" hidden="false" customHeight="false" outlineLevel="0" collapsed="false">
      <c r="A24" s="10" t="s">
        <v>1699</v>
      </c>
      <c r="B24" s="4" t="s">
        <v>1721</v>
      </c>
      <c r="C24" s="10" t="s">
        <v>338</v>
      </c>
      <c r="D24" s="10" t="s">
        <v>1701</v>
      </c>
    </row>
    <row r="25" customFormat="false" ht="15" hidden="false" customHeight="false" outlineLevel="0" collapsed="false">
      <c r="A25" s="10" t="s">
        <v>1699</v>
      </c>
      <c r="B25" s="4" t="s">
        <v>1722</v>
      </c>
      <c r="C25" s="10" t="s">
        <v>338</v>
      </c>
      <c r="D25" s="10" t="s">
        <v>1701</v>
      </c>
    </row>
    <row r="26" customFormat="false" ht="15" hidden="false" customHeight="false" outlineLevel="0" collapsed="false">
      <c r="A26" s="10" t="s">
        <v>1699</v>
      </c>
      <c r="B26" s="4" t="s">
        <v>1723</v>
      </c>
      <c r="C26" s="10" t="s">
        <v>338</v>
      </c>
      <c r="D26" s="10" t="s">
        <v>1701</v>
      </c>
    </row>
    <row r="27" customFormat="false" ht="15" hidden="false" customHeight="false" outlineLevel="0" collapsed="false">
      <c r="A27" s="10" t="s">
        <v>1699</v>
      </c>
      <c r="B27" s="4" t="s">
        <v>1724</v>
      </c>
      <c r="C27" s="10" t="s">
        <v>338</v>
      </c>
      <c r="D27" s="10" t="s">
        <v>1701</v>
      </c>
    </row>
    <row r="28" customFormat="false" ht="15" hidden="false" customHeight="false" outlineLevel="0" collapsed="false">
      <c r="A28" s="10" t="s">
        <v>1699</v>
      </c>
      <c r="B28" s="4" t="s">
        <v>1725</v>
      </c>
      <c r="C28" s="10" t="s">
        <v>338</v>
      </c>
      <c r="D28" s="10" t="s">
        <v>1701</v>
      </c>
    </row>
    <row r="29" customFormat="false" ht="15" hidden="false" customHeight="false" outlineLevel="0" collapsed="false">
      <c r="A29" s="10" t="s">
        <v>1699</v>
      </c>
      <c r="B29" s="4" t="s">
        <v>1726</v>
      </c>
      <c r="C29" s="10" t="s">
        <v>338</v>
      </c>
      <c r="D29" s="10" t="s">
        <v>1701</v>
      </c>
    </row>
    <row r="30" customFormat="false" ht="15" hidden="false" customHeight="false" outlineLevel="0" collapsed="false">
      <c r="A30" s="10" t="s">
        <v>1699</v>
      </c>
      <c r="B30" s="4" t="s">
        <v>1727</v>
      </c>
      <c r="C30" s="10" t="s">
        <v>338</v>
      </c>
      <c r="D30" s="10" t="s">
        <v>1701</v>
      </c>
    </row>
    <row r="31" customFormat="false" ht="15" hidden="false" customHeight="false" outlineLevel="0" collapsed="false">
      <c r="A31" s="10" t="s">
        <v>1699</v>
      </c>
      <c r="B31" s="4" t="s">
        <v>1728</v>
      </c>
      <c r="C31" s="10" t="s">
        <v>338</v>
      </c>
      <c r="D31" s="10" t="s">
        <v>1701</v>
      </c>
    </row>
    <row r="32" customFormat="false" ht="15" hidden="false" customHeight="false" outlineLevel="0" collapsed="false">
      <c r="A32" s="10" t="s">
        <v>1699</v>
      </c>
      <c r="B32" s="4" t="s">
        <v>1729</v>
      </c>
      <c r="C32" s="10" t="s">
        <v>338</v>
      </c>
      <c r="D32" s="10" t="s">
        <v>1701</v>
      </c>
    </row>
    <row r="33" customFormat="false" ht="15" hidden="false" customHeight="false" outlineLevel="0" collapsed="false">
      <c r="A33" s="10" t="s">
        <v>1699</v>
      </c>
      <c r="B33" s="4" t="s">
        <v>1730</v>
      </c>
      <c r="C33" s="10" t="s">
        <v>343</v>
      </c>
      <c r="D33" s="10" t="s">
        <v>1701</v>
      </c>
    </row>
    <row r="36" customFormat="false" ht="15" hidden="false" customHeight="false" outlineLevel="0" collapsed="false">
      <c r="A36" s="6" t="s">
        <v>1731</v>
      </c>
      <c r="B36" s="6" t="n">
        <f aca="false">COUNTIF(D4:D33,"Done")</f>
        <v>0</v>
      </c>
    </row>
    <row r="37" customFormat="false" ht="15" hidden="false" customHeight="false" outlineLevel="0" collapsed="false">
      <c r="A37" s="6" t="s">
        <v>1732</v>
      </c>
      <c r="B37" s="6" t="n">
        <f aca="false">COUNTA(B4:B33)</f>
        <v>30</v>
      </c>
    </row>
    <row r="38" customFormat="false" ht="15" hidden="false" customHeight="false" outlineLevel="0" collapsed="false">
      <c r="A38" s="6" t="s">
        <v>1733</v>
      </c>
      <c r="B38" s="18" t="n">
        <f aca="false">IFERROR(B36/B37,0)</f>
        <v>0</v>
      </c>
    </row>
  </sheetData>
  <autoFilter ref="A3:D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2026-08-14T03:29:06Z</dcterms:created>
  <dc:creator>openpyxl</dc:creator>
  <dc:description/>
  <dc:language>en-US</dc:language>
  <cp:lastModifiedBy/>
  <dcterms:modified xsi:type="dcterms:W3CDTF">2026-08-14T03:29:06Z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